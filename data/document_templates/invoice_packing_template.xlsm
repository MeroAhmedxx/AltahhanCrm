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EXPORT\2026\الطحان 2026\2026-ميلي فود\INV 1432\"/>
    </mc:Choice>
  </mc:AlternateContent>
  <xr:revisionPtr revIDLastSave="0" documentId="13_ncr:1_{71285B1B-16D5-4D6C-8EB6-068487A1A18F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Invoice" sheetId="1" r:id="rId1"/>
    <sheet name="Packing List" sheetId="9" r:id="rId2"/>
  </sheets>
  <functionGroups builtInGroupCount="19"/>
  <definedNames>
    <definedName name="_xlnm.Print_Area" localSheetId="0">Invoice!$A$1:$H$51</definedName>
    <definedName name="_xlnm.Print_Area" localSheetId="1">'Packing List'!$A$1:$F$35</definedName>
    <definedName name="Z_37FCC0D5_F4EA_40F2_998D_0952A9A7AF04_.wvu.PrintArea" localSheetId="0" hidden="1">Invoice!$A$3:$G$47</definedName>
    <definedName name="Z_37FCC0D5_F4EA_40F2_998D_0952A9A7AF04_.wvu.PrintArea" localSheetId="1" hidden="1">'Packing List'!$A$1:$F$21</definedName>
    <definedName name="Z_7E5B47E0_22BB_4A3D_9E99_2B7E47E164BB_.wvu.PrintArea" localSheetId="0" hidden="1">Invoice!$A$3:$G$47</definedName>
    <definedName name="Z_7E5B47E0_22BB_4A3D_9E99_2B7E47E164BB_.wvu.PrintArea" localSheetId="1" hidden="1">'Packing List'!$A$1:$F$21</definedName>
    <definedName name="Z_D436CE59_E66A_40F7_A267_A2AAD809BE0B_.wvu.PrintArea" localSheetId="0" hidden="1">Invoice!$A$3:$G$47</definedName>
    <definedName name="Z_D436CE59_E66A_40F7_A267_A2AAD809BE0B_.wvu.PrintArea" localSheetId="1" hidden="1">'Packing List'!$A$1:$F$21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6" i="9" l="1"/>
  <c r="E17" i="9" s="1"/>
  <c r="F16" i="9"/>
  <c r="F17" i="9" s="1"/>
  <c r="E22" i="1" s="1"/>
  <c r="D16" i="9"/>
  <c r="D17" i="9" s="1"/>
  <c r="C16" i="9"/>
  <c r="F10" i="9"/>
  <c r="C9" i="9"/>
  <c r="F22" i="1"/>
  <c r="F9" i="9"/>
  <c r="A11" i="9"/>
  <c r="A26" i="1"/>
  <c r="G24" i="1" l="1"/>
  <c r="A29" i="1"/>
  <c r="A30" i="1"/>
  <c r="A28" i="1" l="1"/>
  <c r="A12" i="9" l="1"/>
  <c r="C12" i="9"/>
  <c r="C13" i="9" l="1"/>
  <c r="A13" i="9"/>
  <c r="C11" i="9" l="1"/>
  <c r="C10" i="9"/>
  <c r="G22" i="1" l="1"/>
  <c r="G23" i="1" s="1"/>
  <c r="G25" i="1" s="1"/>
</calcChain>
</file>

<file path=xl/sharedStrings.xml><?xml version="1.0" encoding="utf-8"?>
<sst xmlns="http://schemas.openxmlformats.org/spreadsheetml/2006/main" count="58" uniqueCount="53">
  <si>
    <t>BILL TO</t>
  </si>
  <si>
    <t>DATE</t>
  </si>
  <si>
    <t>ADDRESS</t>
  </si>
  <si>
    <t>INVOICE NO#</t>
  </si>
  <si>
    <t>NO</t>
  </si>
  <si>
    <t>DESCRIPTION</t>
  </si>
  <si>
    <t>UNIT</t>
  </si>
  <si>
    <t>PRICE</t>
  </si>
  <si>
    <t>AMOUNT</t>
  </si>
  <si>
    <t>TOTAL</t>
  </si>
  <si>
    <t>PACKING LIST</t>
  </si>
  <si>
    <t>PACKAGES</t>
  </si>
  <si>
    <t>ORIGIN OF GOODS EGYPT</t>
  </si>
  <si>
    <t>SEA FREIGHT</t>
  </si>
  <si>
    <t>SHIPPING METHOD : CFR</t>
  </si>
  <si>
    <t>TEL</t>
  </si>
  <si>
    <t>Email</t>
  </si>
  <si>
    <t>PORT OF LOADING :ALXANDIRIA, EGYPT</t>
  </si>
  <si>
    <t>PORT OF DISCHARGE :CASABLANCA, MOROCCO</t>
  </si>
  <si>
    <t>SWIFT CODE : ADCBEGCXXX</t>
  </si>
  <si>
    <t>TON</t>
  </si>
  <si>
    <t>GROSS WEIGHT
(TON)</t>
  </si>
  <si>
    <t>NET WEIGHT
(TON)</t>
  </si>
  <si>
    <t xml:space="preserve">ACCOUNT NAME : AL TAHAN GOLDEN DATES </t>
  </si>
  <si>
    <t>BANK NAME : ABU DHABI COMMERCIAL BANK</t>
  </si>
  <si>
    <t>ACCOUNT NUMBER:1140724710010201</t>
  </si>
  <si>
    <t>IBAN ID : EG090027002001140724710010201</t>
  </si>
  <si>
    <t xml:space="preserve">Exporter: AL TAHAN GOLDEN DATES </t>
  </si>
  <si>
    <t>Exporter address : New Valley- Egyp</t>
  </si>
  <si>
    <t xml:space="preserve">Producer: Al Tahhan Golden Dates </t>
  </si>
  <si>
    <t>ICE NO</t>
  </si>
  <si>
    <t xml:space="preserve"> TON PRICE CFR  </t>
  </si>
  <si>
    <t>Exporter address :industrial Area - New Valley- Egypt</t>
  </si>
  <si>
    <t>ORIGIN: OF GOODS EGYPT</t>
  </si>
  <si>
    <t>Bank Details :</t>
  </si>
  <si>
    <t>Validity : 10 Days From Proforma INV Date .</t>
  </si>
  <si>
    <t xml:space="preserve">Exporter: AL TAHHAN GOLDEN DATES </t>
  </si>
  <si>
    <t>TOTALAmount CFR</t>
  </si>
  <si>
    <t>TOTALAmount  FOB</t>
  </si>
  <si>
    <t>QTY/TON</t>
  </si>
  <si>
    <t>BILL TO -IMPORTER</t>
  </si>
  <si>
    <t>IMPORTER ADDRESS</t>
  </si>
  <si>
    <t xml:space="preserve">تفصيلة الحاويات </t>
  </si>
  <si>
    <t xml:space="preserve"> </t>
  </si>
  <si>
    <t>COMMERCIAL INVOICE</t>
  </si>
  <si>
    <t>MILLE FOOD SARL</t>
  </si>
  <si>
    <t>71 ANGLE HAY FARAH&amp;BD GRANDE CEINTURE RUE 30 ETAGE 2 – CASABLANCA - MOROCCO</t>
  </si>
  <si>
    <t>000043360000070</t>
  </si>
  <si>
    <t xml:space="preserve"> (212) 698049626- 212661438088</t>
  </si>
  <si>
    <t>Amount 100 % is Cash Againest Documents ( CAD ) Via Bank Account .</t>
  </si>
  <si>
    <t>Total Carton :7500 Carton - Net Weight 90000 Kg - Gross Weight 105000 Kg</t>
  </si>
  <si>
    <t xml:space="preserve">Booking No : CFA0877289     </t>
  </si>
  <si>
    <t xml:space="preserve">Egyptian semi dry Sukkari Dates- Second Grade  3 Kg × 4 Container = 7500 BOX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</si>
</sst>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/mmm/yyyy;@"/>
    <numFmt numFmtId="165" formatCode="[$-409]d\-mmm\-yyyy;@"/>
    <numFmt numFmtId="166" formatCode="0_);[Red]\(0\)"/>
    <numFmt numFmtId="167" formatCode="_([$$-409]* #,##0.00_);_([$$-409]* \(#,##0.00\);_([$$-409]* &quot;-&quot;??_);_(@_)"/>
    <numFmt numFmtId="168" formatCode="_(* #,##0.000000_);_(* \(#,##0.000000\);_(* &quot;-&quot;??_);_(@_)"/>
    <numFmt numFmtId="169" formatCode="_(&quot;$&quot;* #,##0_);_(&quot;$&quot;* \(#,##0\);_(&quot;$&quot;* &quot;-&quot;??_);_(@_)"/>
    <numFmt numFmtId="170" formatCode="0.000_);[Red]\(0.000\)"/>
    <numFmt numFmtId="171" formatCode="0.000"/>
    <numFmt numFmtId="172" formatCode="0.0000"/>
    <numFmt numFmtId="173" formatCode="_([$$-409]* #,##0.0_);_([$$-409]* \(#,##0.0\);_([$$-409]* &quot;-&quot;??_);_(@_)"/>
    <numFmt numFmtId="174" formatCode="0.0000_);[Red]\(0.0000\)"/>
    <numFmt numFmtId="175" formatCode="_([$$-409]* #,##0_);_([$$-409]* \(#,##0\);_([$$-409]* &quot;-&quot;??_);_(@_)"/>
  </numFmts>
  <fonts count="35">
    <font>
      <sz val="11"/>
      <name val="Calibri"/>
      <charset val="13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rebuchet MS"/>
      <family val="2"/>
    </font>
    <font>
      <b/>
      <sz val="20"/>
      <name val="Times New Roman"/>
      <family val="1"/>
    </font>
    <font>
      <b/>
      <sz val="12"/>
      <name val="Times New Roman"/>
      <family val="1"/>
    </font>
    <font>
      <b/>
      <sz val="18"/>
      <name val="Trebuchet MS"/>
      <family val="2"/>
    </font>
    <font>
      <sz val="24"/>
      <color rgb="FF319B96"/>
      <name val="Arial"/>
      <family val="2"/>
    </font>
    <font>
      <b/>
      <sz val="20"/>
      <name val="Andalus"/>
      <family val="1"/>
    </font>
    <font>
      <b/>
      <u/>
      <sz val="20"/>
      <name val="Times New Roman"/>
      <family val="1"/>
    </font>
    <font>
      <sz val="10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b/>
      <sz val="14"/>
      <name val="Calibri Light"/>
      <family val="2"/>
    </font>
    <font>
      <b/>
      <sz val="10"/>
      <name val="Times New Roman"/>
      <family val="1"/>
    </font>
    <font>
      <b/>
      <sz val="11"/>
      <name val="Trebuchet MS"/>
      <family val="2"/>
    </font>
    <font>
      <b/>
      <sz val="14"/>
      <name val="Times New Roman"/>
      <family val="1"/>
    </font>
    <font>
      <sz val="11"/>
      <color rgb="FF000000"/>
      <name val="Calibri"/>
      <family val="2"/>
    </font>
    <font>
      <sz val="11"/>
      <color theme="1"/>
      <name val="Calibri"/>
      <family val="2"/>
      <charset val="178"/>
      <scheme val="minor"/>
    </font>
    <font>
      <sz val="11"/>
      <name val="Calibri"/>
      <family val="2"/>
    </font>
    <font>
      <sz val="12"/>
      <name val="Trebuchet MS"/>
      <family val="2"/>
    </font>
    <font>
      <b/>
      <sz val="10"/>
      <name val="Trebuchet MS"/>
      <family val="2"/>
    </font>
    <font>
      <u/>
      <sz val="11"/>
      <color theme="10"/>
      <name val="Calibri"/>
      <family val="2"/>
    </font>
    <font>
      <sz val="11"/>
      <name val="Calibri"/>
      <family val="2"/>
    </font>
    <font>
      <sz val="14"/>
      <name val="Times New Roman"/>
      <family val="1"/>
    </font>
    <font>
      <sz val="14"/>
      <color indexed="9"/>
      <name val="Times New Roman"/>
      <family val="1"/>
    </font>
    <font>
      <sz val="14"/>
      <name val="Trebuchet MS"/>
      <family val="2"/>
    </font>
    <font>
      <b/>
      <sz val="16"/>
      <name val="Times New Roman"/>
      <family val="1"/>
    </font>
    <font>
      <b/>
      <u/>
      <sz val="16"/>
      <name val="Times New Roman"/>
      <family val="1"/>
    </font>
    <font>
      <b/>
      <sz val="14"/>
      <color rgb="FF000000"/>
      <name val="Times New Roman"/>
      <family val="1"/>
    </font>
    <font>
      <b/>
      <sz val="24"/>
      <name val="Trebuchet MS"/>
      <family val="2"/>
    </font>
  </fonts>
  <fills count="5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9">
    <xf numFmtId="0" fontId="0" fillId="0" borderId="0">
      <alignment vertical="center"/>
    </xf>
    <xf numFmtId="164" fontId="7" fillId="0" borderId="0">
      <protection locked="0"/>
    </xf>
    <xf numFmtId="43" fontId="21" fillId="0" borderId="0">
      <protection locked="0"/>
    </xf>
    <xf numFmtId="0" fontId="22" fillId="0" borderId="0"/>
    <xf numFmtId="0" fontId="6" fillId="0" borderId="0"/>
    <xf numFmtId="0" fontId="5" fillId="0" borderId="0"/>
    <xf numFmtId="0" fontId="4" fillId="0" borderId="0"/>
    <xf numFmtId="0" fontId="3" fillId="0" borderId="0"/>
    <xf numFmtId="43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26" fillId="0" borderId="0" applyNumberFormat="0" applyFill="0" applyBorder="0" applyAlignment="0" applyProtection="0">
      <alignment vertical="center"/>
    </xf>
    <xf numFmtId="44" fontId="27" fillId="0" borderId="0" applyFont="0" applyFill="0" applyBorder="0" applyAlignment="0" applyProtection="0"/>
  </cellStyleXfs>
  <cellXfs count="97">
    <xf numFmtId="0" fontId="0" fillId="0" borderId="0" xfId="0">
      <alignment vertical="center"/>
    </xf>
    <xf numFmtId="0" fontId="7" fillId="0" borderId="0" xfId="1" applyNumberFormat="1" applyAlignment="1" applyProtection="1">
      <alignment horizontal="center" vertical="center"/>
    </xf>
    <xf numFmtId="0" fontId="14" fillId="0" borderId="0" xfId="1" applyNumberFormat="1" applyFont="1" applyAlignment="1" applyProtection="1">
      <alignment horizontal="center" vertical="center"/>
    </xf>
    <xf numFmtId="0" fontId="8" fillId="0" borderId="0" xfId="1" applyNumberFormat="1" applyFont="1" applyAlignment="1" applyProtection="1">
      <alignment horizontal="center" vertical="center"/>
    </xf>
    <xf numFmtId="0" fontId="15" fillId="0" borderId="1" xfId="1" applyNumberFormat="1" applyFont="1" applyBorder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7" fillId="0" borderId="0" xfId="1" applyNumberFormat="1" applyFont="1" applyAlignment="1" applyProtection="1">
      <alignment horizontal="left" vertical="center"/>
    </xf>
    <xf numFmtId="0" fontId="19" fillId="0" borderId="0" xfId="1" applyNumberFormat="1" applyFont="1" applyAlignment="1" applyProtection="1">
      <alignment horizontal="center" vertical="center"/>
    </xf>
    <xf numFmtId="0" fontId="14" fillId="0" borderId="0" xfId="1" applyNumberFormat="1" applyFont="1" applyAlignment="1" applyProtection="1">
      <alignment horizontal="right" vertical="center"/>
    </xf>
    <xf numFmtId="43" fontId="7" fillId="0" borderId="0" xfId="1" applyNumberFormat="1" applyAlignment="1" applyProtection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167" fontId="7" fillId="0" borderId="0" xfId="1" applyNumberFormat="1" applyAlignment="1" applyProtection="1">
      <alignment horizontal="center" vertical="center"/>
    </xf>
    <xf numFmtId="167" fontId="15" fillId="0" borderId="0" xfId="2" applyNumberFormat="1" applyFont="1" applyAlignment="1" applyProtection="1">
      <alignment horizontal="center" vertical="center"/>
    </xf>
    <xf numFmtId="166" fontId="7" fillId="0" borderId="0" xfId="1" applyNumberFormat="1" applyAlignment="1" applyProtection="1">
      <alignment horizontal="center" vertical="center"/>
    </xf>
    <xf numFmtId="0" fontId="9" fillId="0" borderId="0" xfId="1" applyNumberFormat="1" applyFont="1" applyAlignment="1">
      <alignment horizontal="center" vertical="center" shrinkToFit="1"/>
      <protection locked="0"/>
    </xf>
    <xf numFmtId="0" fontId="7" fillId="0" borderId="0" xfId="1" applyNumberFormat="1" applyAlignment="1" applyProtection="1">
      <alignment horizontal="left" vertical="center"/>
    </xf>
    <xf numFmtId="0" fontId="15" fillId="2" borderId="2" xfId="1" applyNumberFormat="1" applyFont="1" applyFill="1" applyBorder="1" applyAlignment="1" applyProtection="1">
      <alignment horizontal="center" vertical="center"/>
    </xf>
    <xf numFmtId="0" fontId="15" fillId="2" borderId="3" xfId="1" applyNumberFormat="1" applyFont="1" applyFill="1" applyBorder="1" applyAlignment="1" applyProtection="1">
      <alignment vertical="center"/>
    </xf>
    <xf numFmtId="0" fontId="18" fillId="2" borderId="3" xfId="1" applyNumberFormat="1" applyFont="1" applyFill="1" applyBorder="1" applyAlignment="1" applyProtection="1">
      <alignment horizontal="center" vertical="center"/>
    </xf>
    <xf numFmtId="0" fontId="18" fillId="2" borderId="3" xfId="1" applyNumberFormat="1" applyFont="1" applyFill="1" applyBorder="1" applyAlignment="1" applyProtection="1">
      <alignment horizontal="center" vertical="center" wrapText="1"/>
    </xf>
    <xf numFmtId="0" fontId="18" fillId="2" borderId="4" xfId="1" applyNumberFormat="1" applyFont="1" applyFill="1" applyBorder="1" applyAlignment="1" applyProtection="1">
      <alignment horizontal="center" vertical="center" wrapText="1"/>
    </xf>
    <xf numFmtId="0" fontId="9" fillId="0" borderId="0" xfId="1" applyNumberFormat="1" applyFont="1" applyAlignment="1" applyProtection="1">
      <alignment horizontal="left" vertical="center"/>
    </xf>
    <xf numFmtId="168" fontId="7" fillId="0" borderId="0" xfId="11" applyNumberFormat="1" applyFont="1" applyAlignment="1" applyProtection="1">
      <alignment horizontal="center" vertical="center"/>
    </xf>
    <xf numFmtId="0" fontId="17" fillId="3" borderId="6" xfId="1" applyNumberFormat="1" applyFont="1" applyFill="1" applyBorder="1" applyAlignment="1" applyProtection="1">
      <alignment horizontal="left" vertical="center"/>
    </xf>
    <xf numFmtId="0" fontId="19" fillId="3" borderId="5" xfId="1" applyNumberFormat="1" applyFont="1" applyFill="1" applyBorder="1" applyAlignment="1" applyProtection="1">
      <alignment horizontal="center" vertical="center"/>
    </xf>
    <xf numFmtId="0" fontId="15" fillId="3" borderId="5" xfId="1" applyNumberFormat="1" applyFont="1" applyFill="1" applyBorder="1" applyAlignment="1" applyProtection="1">
      <alignment horizontal="center" vertical="center"/>
    </xf>
    <xf numFmtId="43" fontId="7" fillId="0" borderId="0" xfId="11" applyFont="1" applyAlignment="1" applyProtection="1">
      <alignment horizontal="center" vertical="center"/>
    </xf>
    <xf numFmtId="0" fontId="24" fillId="4" borderId="0" xfId="1" applyNumberFormat="1" applyFont="1" applyFill="1" applyAlignment="1" applyProtection="1">
      <alignment horizontal="center" vertical="center"/>
    </xf>
    <xf numFmtId="165" fontId="15" fillId="0" borderId="1" xfId="1" applyNumberFormat="1" applyFont="1" applyBorder="1" applyAlignment="1" applyProtection="1">
      <alignment horizontal="center" vertical="center"/>
    </xf>
    <xf numFmtId="0" fontId="15" fillId="2" borderId="3" xfId="1" applyNumberFormat="1" applyFont="1" applyFill="1" applyBorder="1" applyAlignment="1" applyProtection="1">
      <alignment horizontal="center" vertical="center"/>
    </xf>
    <xf numFmtId="0" fontId="15" fillId="2" borderId="4" xfId="1" applyNumberFormat="1" applyFont="1" applyFill="1" applyBorder="1" applyAlignment="1" applyProtection="1">
      <alignment horizontal="center" vertical="center" wrapText="1"/>
    </xf>
    <xf numFmtId="0" fontId="15" fillId="2" borderId="8" xfId="1" applyNumberFormat="1" applyFont="1" applyFill="1" applyBorder="1" applyAlignment="1" applyProtection="1">
      <alignment horizontal="center" vertical="center"/>
    </xf>
    <xf numFmtId="0" fontId="25" fillId="4" borderId="0" xfId="1" applyNumberFormat="1" applyFont="1" applyFill="1" applyAlignment="1" applyProtection="1">
      <alignment horizontal="center" vertical="center"/>
    </xf>
    <xf numFmtId="0" fontId="25" fillId="4" borderId="0" xfId="1" applyNumberFormat="1" applyFont="1" applyFill="1" applyAlignment="1" applyProtection="1">
      <alignment horizontal="center" vertical="center" wrapText="1"/>
    </xf>
    <xf numFmtId="166" fontId="15" fillId="3" borderId="0" xfId="1" applyNumberFormat="1" applyFont="1" applyFill="1" applyAlignment="1" applyProtection="1">
      <alignment horizontal="center" vertical="center"/>
    </xf>
    <xf numFmtId="0" fontId="15" fillId="0" borderId="2" xfId="1" applyNumberFormat="1" applyFont="1" applyBorder="1" applyAlignment="1" applyProtection="1">
      <alignment horizontal="center" vertical="center"/>
    </xf>
    <xf numFmtId="0" fontId="20" fillId="0" borderId="10" xfId="1" applyNumberFormat="1" applyFont="1" applyBorder="1" applyAlignment="1" applyProtection="1">
      <alignment vertical="center"/>
    </xf>
    <xf numFmtId="0" fontId="20" fillId="0" borderId="14" xfId="1" applyNumberFormat="1" applyFont="1" applyBorder="1" applyAlignment="1" applyProtection="1">
      <alignment vertical="center"/>
    </xf>
    <xf numFmtId="0" fontId="15" fillId="0" borderId="3" xfId="1" applyNumberFormat="1" applyFont="1" applyBorder="1" applyAlignment="1" applyProtection="1">
      <alignment horizontal="center" vertical="center" wrapText="1"/>
    </xf>
    <xf numFmtId="0" fontId="9" fillId="0" borderId="1" xfId="1" applyNumberFormat="1" applyFont="1" applyBorder="1" applyAlignment="1">
      <alignment horizontal="center" vertical="center" shrinkToFit="1"/>
      <protection locked="0"/>
    </xf>
    <xf numFmtId="0" fontId="7" fillId="0" borderId="0" xfId="1" applyNumberFormat="1" applyAlignment="1" applyProtection="1">
      <alignment horizontal="center" vertical="center" wrapText="1"/>
    </xf>
    <xf numFmtId="0" fontId="20" fillId="0" borderId="0" xfId="1" applyNumberFormat="1" applyFont="1" applyAlignment="1" applyProtection="1">
      <alignment horizontal="left" vertical="center"/>
    </xf>
    <xf numFmtId="0" fontId="20" fillId="0" borderId="0" xfId="1" applyNumberFormat="1" applyFont="1" applyAlignment="1" applyProtection="1">
      <alignment horizontal="left" vertical="center" shrinkToFit="1"/>
    </xf>
    <xf numFmtId="0" fontId="28" fillId="0" borderId="0" xfId="1" applyNumberFormat="1" applyFont="1" applyAlignment="1" applyProtection="1">
      <alignment horizontal="left" vertical="center"/>
    </xf>
    <xf numFmtId="43" fontId="20" fillId="0" borderId="0" xfId="2" applyFont="1" applyAlignment="1" applyProtection="1">
      <alignment horizontal="left" vertical="center"/>
    </xf>
    <xf numFmtId="0" fontId="29" fillId="0" borderId="0" xfId="1" applyNumberFormat="1" applyFont="1" applyAlignment="1" applyProtection="1">
      <alignment horizontal="left" vertical="center"/>
    </xf>
    <xf numFmtId="0" fontId="10" fillId="0" borderId="0" xfId="1" applyNumberFormat="1" applyFont="1" applyAlignment="1" applyProtection="1">
      <alignment horizontal="left" vertical="center"/>
    </xf>
    <xf numFmtId="0" fontId="11" fillId="0" borderId="0" xfId="1" applyNumberFormat="1" applyFont="1" applyAlignment="1">
      <alignment vertical="center"/>
      <protection locked="0"/>
    </xf>
    <xf numFmtId="0" fontId="12" fillId="0" borderId="0" xfId="1" applyNumberFormat="1" applyFont="1" applyAlignment="1">
      <alignment vertical="center"/>
      <protection locked="0"/>
    </xf>
    <xf numFmtId="0" fontId="30" fillId="0" borderId="0" xfId="1" applyNumberFormat="1" applyFont="1" applyAlignment="1" applyProtection="1">
      <alignment horizontal="center" vertical="center"/>
    </xf>
    <xf numFmtId="0" fontId="15" fillId="0" borderId="1" xfId="1" applyNumberFormat="1" applyFont="1" applyBorder="1" applyAlignment="1">
      <alignment horizontal="center" vertical="center" wrapText="1" shrinkToFit="1"/>
      <protection locked="0"/>
    </xf>
    <xf numFmtId="49" fontId="15" fillId="0" borderId="1" xfId="1" applyNumberFormat="1" applyFont="1" applyBorder="1" applyAlignment="1" applyProtection="1">
      <alignment horizontal="center" vertical="center"/>
    </xf>
    <xf numFmtId="0" fontId="20" fillId="0" borderId="1" xfId="1" applyNumberFormat="1" applyFont="1" applyBorder="1" applyAlignment="1" applyProtection="1">
      <alignment horizontal="center" vertical="center"/>
    </xf>
    <xf numFmtId="0" fontId="32" fillId="0" borderId="0" xfId="1" applyNumberFormat="1" applyFont="1" applyAlignment="1" applyProtection="1">
      <alignment horizontal="left" vertical="center"/>
    </xf>
    <xf numFmtId="165" fontId="20" fillId="0" borderId="1" xfId="1" applyNumberFormat="1" applyFont="1" applyBorder="1" applyAlignment="1" applyProtection="1">
      <alignment horizontal="center" vertical="center"/>
    </xf>
    <xf numFmtId="0" fontId="8" fillId="0" borderId="0" xfId="1" applyNumberFormat="1" applyFont="1" applyAlignment="1">
      <alignment horizontal="center" vertical="center" wrapText="1"/>
      <protection locked="0"/>
    </xf>
    <xf numFmtId="0" fontId="20" fillId="0" borderId="13" xfId="1" applyNumberFormat="1" applyFont="1" applyBorder="1" applyAlignment="1" applyProtection="1">
      <alignment horizontal="center" vertical="center"/>
    </xf>
    <xf numFmtId="0" fontId="20" fillId="0" borderId="7" xfId="1" applyNumberFormat="1" applyFont="1" applyBorder="1" applyAlignment="1" applyProtection="1">
      <alignment horizontal="center" vertical="center"/>
    </xf>
    <xf numFmtId="170" fontId="20" fillId="0" borderId="7" xfId="1" applyNumberFormat="1" applyFont="1" applyBorder="1" applyAlignment="1" applyProtection="1">
      <alignment horizontal="center" vertical="center"/>
    </xf>
    <xf numFmtId="169" fontId="20" fillId="0" borderId="12" xfId="28" applyNumberFormat="1" applyFont="1" applyBorder="1" applyAlignment="1" applyProtection="1">
      <alignment horizontal="center" vertical="center"/>
    </xf>
    <xf numFmtId="167" fontId="20" fillId="3" borderId="8" xfId="2" applyNumberFormat="1" applyFont="1" applyFill="1" applyBorder="1" applyAlignment="1" applyProtection="1">
      <alignment horizontal="center" vertical="center"/>
    </xf>
    <xf numFmtId="167" fontId="20" fillId="0" borderId="9" xfId="2" applyNumberFormat="1" applyFont="1" applyBorder="1" applyAlignment="1" applyProtection="1">
      <alignment horizontal="center" vertical="center"/>
    </xf>
    <xf numFmtId="171" fontId="15" fillId="3" borderId="5" xfId="1" applyNumberFormat="1" applyFont="1" applyFill="1" applyBorder="1" applyAlignment="1" applyProtection="1">
      <alignment horizontal="center" vertical="center"/>
    </xf>
    <xf numFmtId="171" fontId="15" fillId="0" borderId="4" xfId="12" applyNumberFormat="1" applyFont="1" applyBorder="1" applyAlignment="1" applyProtection="1">
      <alignment horizontal="center" vertical="center"/>
    </xf>
    <xf numFmtId="172" fontId="15" fillId="3" borderId="5" xfId="1" applyNumberFormat="1" applyFont="1" applyFill="1" applyBorder="1" applyAlignment="1" applyProtection="1">
      <alignment horizontal="center" vertical="center"/>
    </xf>
    <xf numFmtId="173" fontId="33" fillId="0" borderId="7" xfId="2" applyNumberFormat="1" applyFont="1" applyBorder="1" applyAlignment="1" applyProtection="1">
      <alignment horizontal="center" vertical="center"/>
    </xf>
    <xf numFmtId="1" fontId="7" fillId="0" borderId="0" xfId="12" applyNumberFormat="1" applyFont="1" applyBorder="1" applyAlignment="1" applyProtection="1">
      <alignment horizontal="center" vertical="center"/>
    </xf>
    <xf numFmtId="1" fontId="15" fillId="3" borderId="0" xfId="1" applyNumberFormat="1" applyFont="1" applyFill="1" applyAlignment="1" applyProtection="1">
      <alignment horizontal="center" vertical="center"/>
    </xf>
    <xf numFmtId="174" fontId="15" fillId="0" borderId="3" xfId="1" applyNumberFormat="1" applyFont="1" applyBorder="1" applyAlignment="1" applyProtection="1">
      <alignment horizontal="center" vertical="center"/>
    </xf>
    <xf numFmtId="0" fontId="34" fillId="0" borderId="0" xfId="1" applyNumberFormat="1" applyFont="1" applyAlignment="1" applyProtection="1">
      <alignment horizontal="center" vertical="center"/>
    </xf>
    <xf numFmtId="0" fontId="7" fillId="0" borderId="0" xfId="1" applyNumberFormat="1" applyAlignment="1" applyProtection="1">
      <alignment horizontal="center" vertical="center" readingOrder="2"/>
    </xf>
    <xf numFmtId="166" fontId="7" fillId="0" borderId="0" xfId="1" applyNumberFormat="1" applyAlignment="1" applyProtection="1">
      <alignment horizontal="center" vertical="center" readingOrder="2"/>
    </xf>
    <xf numFmtId="175" fontId="20" fillId="0" borderId="11" xfId="1" applyNumberFormat="1" applyFont="1" applyBorder="1" applyAlignment="1" applyProtection="1">
      <alignment vertical="center"/>
    </xf>
    <xf numFmtId="0" fontId="15" fillId="2" borderId="2" xfId="1" applyNumberFormat="1" applyFont="1" applyFill="1" applyBorder="1" applyAlignment="1" applyProtection="1">
      <alignment horizontal="center" vertical="center"/>
    </xf>
    <xf numFmtId="0" fontId="15" fillId="2" borderId="3" xfId="1" applyNumberFormat="1" applyFont="1" applyFill="1" applyBorder="1" applyAlignment="1" applyProtection="1">
      <alignment horizontal="center" vertical="center"/>
    </xf>
    <xf numFmtId="0" fontId="20" fillId="0" borderId="7" xfId="1" applyNumberFormat="1" applyFont="1" applyBorder="1" applyAlignment="1" applyProtection="1">
      <alignment horizontal="center" vertical="center" wrapText="1"/>
    </xf>
    <xf numFmtId="0" fontId="20" fillId="0" borderId="0" xfId="1" applyNumberFormat="1" applyFont="1" applyAlignment="1">
      <alignment horizontal="center" vertical="center" wrapText="1"/>
      <protection locked="0"/>
    </xf>
    <xf numFmtId="0" fontId="20" fillId="3" borderId="2" xfId="1" applyNumberFormat="1" applyFont="1" applyFill="1" applyBorder="1" applyAlignment="1" applyProtection="1">
      <alignment horizontal="center" vertical="center"/>
    </xf>
    <xf numFmtId="0" fontId="20" fillId="3" borderId="3" xfId="1" applyNumberFormat="1" applyFont="1" applyFill="1" applyBorder="1" applyAlignment="1" applyProtection="1">
      <alignment horizontal="center" vertical="center"/>
    </xf>
    <xf numFmtId="0" fontId="20" fillId="3" borderId="4" xfId="1" applyNumberFormat="1" applyFont="1" applyFill="1" applyBorder="1" applyAlignment="1" applyProtection="1">
      <alignment horizontal="center" vertical="center"/>
    </xf>
    <xf numFmtId="0" fontId="20" fillId="0" borderId="2" xfId="1" applyNumberFormat="1" applyFont="1" applyBorder="1" applyAlignment="1" applyProtection="1">
      <alignment horizontal="center" vertical="center"/>
    </xf>
    <xf numFmtId="0" fontId="20" fillId="0" borderId="3" xfId="1" applyNumberFormat="1" applyFont="1" applyBorder="1" applyAlignment="1" applyProtection="1">
      <alignment horizontal="center" vertical="center"/>
    </xf>
    <xf numFmtId="0" fontId="20" fillId="0" borderId="4" xfId="1" applyNumberFormat="1" applyFont="1" applyBorder="1" applyAlignment="1" applyProtection="1">
      <alignment horizontal="center" vertical="center"/>
    </xf>
    <xf numFmtId="49" fontId="26" fillId="0" borderId="1" xfId="27" applyNumberFormat="1" applyBorder="1" applyAlignment="1" applyProtection="1">
      <alignment horizontal="center" vertical="center"/>
    </xf>
    <xf numFmtId="49" fontId="20" fillId="0" borderId="1" xfId="1" applyNumberFormat="1" applyFont="1" applyBorder="1" applyAlignment="1" applyProtection="1">
      <alignment horizontal="center" vertical="center"/>
    </xf>
    <xf numFmtId="0" fontId="20" fillId="0" borderId="1" xfId="1" applyNumberFormat="1" applyFont="1" applyBorder="1" applyAlignment="1" applyProtection="1">
      <alignment horizontal="center" vertical="center"/>
    </xf>
    <xf numFmtId="0" fontId="8" fillId="0" borderId="0" xfId="1" applyNumberFormat="1" applyFont="1" applyAlignment="1">
      <alignment horizontal="center" vertical="center" wrapText="1"/>
      <protection locked="0"/>
    </xf>
    <xf numFmtId="0" fontId="15" fillId="0" borderId="0" xfId="1" applyNumberFormat="1" applyFont="1" applyAlignment="1">
      <alignment horizontal="center" vertical="center" wrapText="1"/>
      <protection locked="0"/>
    </xf>
    <xf numFmtId="0" fontId="9" fillId="0" borderId="0" xfId="1" applyNumberFormat="1" applyFont="1" applyAlignment="1">
      <alignment horizontal="center" vertical="center" wrapText="1"/>
      <protection locked="0"/>
    </xf>
    <xf numFmtId="0" fontId="13" fillId="0" borderId="0" xfId="1" applyNumberFormat="1" applyFont="1" applyAlignment="1" applyProtection="1">
      <alignment horizontal="center" vertical="center"/>
    </xf>
    <xf numFmtId="0" fontId="31" fillId="0" borderId="1" xfId="1" applyNumberFormat="1" applyFont="1" applyBorder="1" applyAlignment="1">
      <alignment horizontal="center" vertical="center" shrinkToFit="1"/>
      <protection locked="0"/>
    </xf>
    <xf numFmtId="0" fontId="20" fillId="0" borderId="1" xfId="1" applyNumberFormat="1" applyFont="1" applyBorder="1" applyAlignment="1">
      <alignment horizontal="center" vertical="center" wrapText="1" shrinkToFit="1"/>
      <protection locked="0"/>
    </xf>
    <xf numFmtId="0" fontId="20" fillId="0" borderId="0" xfId="1" applyNumberFormat="1" applyFont="1" applyAlignment="1" applyProtection="1">
      <alignment horizontal="left" vertical="center"/>
    </xf>
    <xf numFmtId="0" fontId="15" fillId="0" borderId="1" xfId="1" applyNumberFormat="1" applyFont="1" applyBorder="1" applyAlignment="1" applyProtection="1">
      <alignment horizontal="center" vertical="center"/>
    </xf>
    <xf numFmtId="0" fontId="9" fillId="0" borderId="0" xfId="1" applyNumberFormat="1" applyFont="1" applyAlignment="1" applyProtection="1">
      <alignment horizontal="left" vertical="center"/>
    </xf>
    <xf numFmtId="0" fontId="19" fillId="0" borderId="15" xfId="1" applyNumberFormat="1" applyFont="1" applyBorder="1" applyAlignment="1" applyProtection="1">
      <alignment horizontal="center" vertical="center"/>
    </xf>
    <xf numFmtId="0" fontId="15" fillId="0" borderId="15" xfId="1" quotePrefix="1" applyNumberFormat="1" applyFont="1" applyBorder="1" applyAlignment="1" applyProtection="1">
      <alignment horizontal="center" vertical="center"/>
    </xf>
  </cellXfs>
  <cellStyles count="29">
    <cellStyle name="Comma" xfId="11" builtinId="3"/>
    <cellStyle name="Comma 2" xfId="2" xr:uid="{00000000-0005-0000-0000-000001000000}"/>
    <cellStyle name="Comma 3" xfId="8" xr:uid="{00000000-0005-0000-0000-000002000000}"/>
    <cellStyle name="Comma 3 2" xfId="24" xr:uid="{00000000-0005-0000-0000-000003000000}"/>
    <cellStyle name="Comma 3 3" xfId="17" xr:uid="{00000000-0005-0000-0000-000004000000}"/>
    <cellStyle name="Comma 4" xfId="12" xr:uid="{00000000-0005-0000-0000-000005000000}"/>
    <cellStyle name="Currency" xfId="28" builtinId="4"/>
    <cellStyle name="Currency 2" xfId="10" xr:uid="{00000000-0005-0000-0000-000006000000}"/>
    <cellStyle name="Currency 2 2" xfId="26" xr:uid="{00000000-0005-0000-0000-000007000000}"/>
    <cellStyle name="Currency 2 3" xfId="19" xr:uid="{00000000-0005-0000-0000-000008000000}"/>
    <cellStyle name="Hyperlink" xfId="27" builtinId="8"/>
    <cellStyle name="Normal" xfId="0" builtinId="0"/>
    <cellStyle name="Normal 2" xfId="3" xr:uid="{00000000-0005-0000-0000-00000A000000}"/>
    <cellStyle name="Normal 2 2" xfId="4" xr:uid="{00000000-0005-0000-0000-00000B000000}"/>
    <cellStyle name="Normal 2 2 2" xfId="20" xr:uid="{00000000-0005-0000-0000-00000C000000}"/>
    <cellStyle name="Normal 2 2 3" xfId="13" xr:uid="{00000000-0005-0000-0000-00000D000000}"/>
    <cellStyle name="Normal 3" xfId="5" xr:uid="{00000000-0005-0000-0000-00000E000000}"/>
    <cellStyle name="Normal 3 2" xfId="21" xr:uid="{00000000-0005-0000-0000-00000F000000}"/>
    <cellStyle name="Normal 3 3" xfId="14" xr:uid="{00000000-0005-0000-0000-000010000000}"/>
    <cellStyle name="Normal 4" xfId="1" xr:uid="{00000000-0005-0000-0000-000011000000}"/>
    <cellStyle name="Normal 5" xfId="6" xr:uid="{00000000-0005-0000-0000-000012000000}"/>
    <cellStyle name="Normal 5 2" xfId="22" xr:uid="{00000000-0005-0000-0000-000013000000}"/>
    <cellStyle name="Normal 5 3" xfId="15" xr:uid="{00000000-0005-0000-0000-000014000000}"/>
    <cellStyle name="Normal 6" xfId="7" xr:uid="{00000000-0005-0000-0000-000015000000}"/>
    <cellStyle name="Normal 6 2" xfId="23" xr:uid="{00000000-0005-0000-0000-000016000000}"/>
    <cellStyle name="Normal 6 3" xfId="16" xr:uid="{00000000-0005-0000-0000-000017000000}"/>
    <cellStyle name="Normal 7" xfId="9" xr:uid="{00000000-0005-0000-0000-000018000000}"/>
    <cellStyle name="Normal 7 2" xfId="25" xr:uid="{00000000-0005-0000-0000-000019000000}"/>
    <cellStyle name="Normal 7 3" xfId="18" xr:uid="{00000000-0005-0000-0000-00001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675409</xdr:colOff>
      <xdr:row>5</xdr:row>
      <xdr:rowOff>231320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E5692A1-B522-4CDB-B341-F9FE9E5DF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443357" cy="1714499"/>
        </a:xfrm>
        <a:prstGeom prst="rect">
          <a:avLst/>
        </a:prstGeom>
      </xdr:spPr>
    </xdr:pic>
    <xdr:clientData/>
  </xdr:twoCellAnchor>
  <xdr:twoCellAnchor editAs="oneCell">
    <xdr:from>
      <xdr:col>0</xdr:col>
      <xdr:colOff>29936</xdr:colOff>
      <xdr:row>47</xdr:row>
      <xdr:rowOff>19050</xdr:rowOff>
    </xdr:from>
    <xdr:to>
      <xdr:col>6</xdr:col>
      <xdr:colOff>1415143</xdr:colOff>
      <xdr:row>51</xdr:row>
      <xdr:rowOff>152402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FEE6D96-5FD5-4613-8215-3100DDBBB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6" y="15980229"/>
          <a:ext cx="10175421" cy="1426030"/>
        </a:xfrm>
        <a:prstGeom prst="rect">
          <a:avLst/>
        </a:prstGeom>
      </xdr:spPr>
    </xdr:pic>
    <xdr:clientData/>
  </xdr:twoCellAnchor>
  <xdr:twoCellAnchor editAs="oneCell">
    <xdr:from>
      <xdr:col>3</xdr:col>
      <xdr:colOff>1078302</xdr:colOff>
      <xdr:row>26</xdr:row>
      <xdr:rowOff>161745</xdr:rowOff>
    </xdr:from>
    <xdr:to>
      <xdr:col>6</xdr:col>
      <xdr:colOff>808727</xdr:colOff>
      <xdr:row>34</xdr:row>
      <xdr:rowOff>108857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EBF531F-212E-4BF7-82B5-6CE38DF12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79953" y="10477500"/>
          <a:ext cx="3216934" cy="21576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8965</xdr:rowOff>
    </xdr:from>
    <xdr:to>
      <xdr:col>5</xdr:col>
      <xdr:colOff>950258</xdr:colOff>
      <xdr:row>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46EFB2C-CB41-4F0B-B18C-72B6EDA1D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8041340" cy="12371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116542</xdr:rowOff>
    </xdr:from>
    <xdr:to>
      <xdr:col>5</xdr:col>
      <xdr:colOff>997323</xdr:colOff>
      <xdr:row>34</xdr:row>
      <xdr:rowOff>108216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D3B56FA-55EF-47BB-AF2A-97AFABAAD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70777"/>
          <a:ext cx="8050306" cy="14260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3:K57"/>
  <sheetViews>
    <sheetView showGridLines="0" tabSelected="1" view="pageBreakPreview" topLeftCell="A22" zoomScale="53" zoomScaleNormal="85" zoomScaleSheetLayoutView="53" workbookViewId="0">
      <selection activeCell="A27" sqref="A27"/>
    </sheetView>
  </sheetViews>
  <sheetFormatPr defaultColWidth="11" defaultRowHeight="15"/>
  <cols>
    <col min="1" max="1" width="5.7109375" style="1" customWidth="1"/>
    <col min="2" max="2" width="25.5703125" style="1" customWidth="1"/>
    <col min="3" max="3" width="48.140625" style="1" customWidth="1"/>
    <col min="4" max="4" width="19.7109375" style="1" customWidth="1"/>
    <col min="5" max="5" width="14.28515625" style="1" customWidth="1"/>
    <col min="6" max="6" width="18.28515625" style="1" customWidth="1"/>
    <col min="7" max="7" width="24.42578125" style="1" bestFit="1" customWidth="1"/>
    <col min="8" max="8" width="1.7109375" style="1" customWidth="1"/>
    <col min="9" max="9" width="11.42578125" style="1"/>
    <col min="10" max="10" width="47.28515625" style="1" customWidth="1"/>
    <col min="11" max="11" width="15.140625" style="1" bestFit="1" customWidth="1"/>
    <col min="12" max="12" width="12.85546875" style="1" bestFit="1" customWidth="1"/>
    <col min="13" max="239" width="11.42578125" style="1"/>
    <col min="240" max="240" width="3.85546875" style="1" customWidth="1"/>
    <col min="241" max="241" width="11.85546875" style="1" customWidth="1"/>
    <col min="242" max="242" width="40.7109375" style="1" customWidth="1"/>
    <col min="243" max="243" width="10.140625" style="1" customWidth="1"/>
    <col min="244" max="244" width="8.85546875" style="1" customWidth="1"/>
    <col min="245" max="245" width="13.28515625" style="1" customWidth="1"/>
    <col min="246" max="246" width="14.85546875" style="1" customWidth="1"/>
    <col min="247" max="247" width="11.42578125" style="1"/>
    <col min="248" max="248" width="22.85546875" style="1" customWidth="1"/>
    <col min="249" max="249" width="17" style="1" customWidth="1"/>
    <col min="250" max="495" width="11.42578125" style="1"/>
    <col min="496" max="496" width="3.85546875" style="1" customWidth="1"/>
    <col min="497" max="497" width="11.85546875" style="1" customWidth="1"/>
    <col min="498" max="498" width="40.7109375" style="1" customWidth="1"/>
    <col min="499" max="499" width="10.140625" style="1" customWidth="1"/>
    <col min="500" max="500" width="8.85546875" style="1" customWidth="1"/>
    <col min="501" max="501" width="13.28515625" style="1" customWidth="1"/>
    <col min="502" max="502" width="14.85546875" style="1" customWidth="1"/>
    <col min="503" max="503" width="11.42578125" style="1"/>
    <col min="504" max="504" width="22.85546875" style="1" customWidth="1"/>
    <col min="505" max="505" width="17" style="1" customWidth="1"/>
    <col min="506" max="751" width="11.42578125" style="1"/>
    <col min="752" max="752" width="3.85546875" style="1" customWidth="1"/>
    <col min="753" max="753" width="11.85546875" style="1" customWidth="1"/>
    <col min="754" max="754" width="40.7109375" style="1" customWidth="1"/>
    <col min="755" max="755" width="10.140625" style="1" customWidth="1"/>
    <col min="756" max="756" width="8.85546875" style="1" customWidth="1"/>
    <col min="757" max="757" width="13.28515625" style="1" customWidth="1"/>
    <col min="758" max="758" width="14.85546875" style="1" customWidth="1"/>
    <col min="759" max="759" width="11.42578125" style="1"/>
    <col min="760" max="760" width="22.85546875" style="1" customWidth="1"/>
    <col min="761" max="761" width="17" style="1" customWidth="1"/>
    <col min="762" max="1007" width="11.42578125" style="1"/>
    <col min="1008" max="1008" width="3.85546875" style="1" customWidth="1"/>
    <col min="1009" max="1009" width="11.85546875" style="1" customWidth="1"/>
    <col min="1010" max="1010" width="40.7109375" style="1" customWidth="1"/>
    <col min="1011" max="1011" width="10.140625" style="1" customWidth="1"/>
    <col min="1012" max="1012" width="8.85546875" style="1" customWidth="1"/>
    <col min="1013" max="1013" width="13.28515625" style="1" customWidth="1"/>
    <col min="1014" max="1014" width="14.85546875" style="1" customWidth="1"/>
    <col min="1015" max="1015" width="11.42578125" style="1"/>
    <col min="1016" max="1016" width="22.85546875" style="1" customWidth="1"/>
    <col min="1017" max="1017" width="17" style="1" customWidth="1"/>
    <col min="1018" max="1263" width="11.42578125" style="1"/>
    <col min="1264" max="1264" width="3.85546875" style="1" customWidth="1"/>
    <col min="1265" max="1265" width="11.85546875" style="1" customWidth="1"/>
    <col min="1266" max="1266" width="40.7109375" style="1" customWidth="1"/>
    <col min="1267" max="1267" width="10.140625" style="1" customWidth="1"/>
    <col min="1268" max="1268" width="8.85546875" style="1" customWidth="1"/>
    <col min="1269" max="1269" width="13.28515625" style="1" customWidth="1"/>
    <col min="1270" max="1270" width="14.85546875" style="1" customWidth="1"/>
    <col min="1271" max="1271" width="11.42578125" style="1"/>
    <col min="1272" max="1272" width="22.85546875" style="1" customWidth="1"/>
    <col min="1273" max="1273" width="17" style="1" customWidth="1"/>
    <col min="1274" max="1519" width="11.42578125" style="1"/>
    <col min="1520" max="1520" width="3.85546875" style="1" customWidth="1"/>
    <col min="1521" max="1521" width="11.85546875" style="1" customWidth="1"/>
    <col min="1522" max="1522" width="40.7109375" style="1" customWidth="1"/>
    <col min="1523" max="1523" width="10.140625" style="1" customWidth="1"/>
    <col min="1524" max="1524" width="8.85546875" style="1" customWidth="1"/>
    <col min="1525" max="1525" width="13.28515625" style="1" customWidth="1"/>
    <col min="1526" max="1526" width="14.85546875" style="1" customWidth="1"/>
    <col min="1527" max="1527" width="11.42578125" style="1"/>
    <col min="1528" max="1528" width="22.85546875" style="1" customWidth="1"/>
    <col min="1529" max="1529" width="17" style="1" customWidth="1"/>
    <col min="1530" max="1775" width="11.42578125" style="1"/>
    <col min="1776" max="1776" width="3.85546875" style="1" customWidth="1"/>
    <col min="1777" max="1777" width="11.85546875" style="1" customWidth="1"/>
    <col min="1778" max="1778" width="40.7109375" style="1" customWidth="1"/>
    <col min="1779" max="1779" width="10.140625" style="1" customWidth="1"/>
    <col min="1780" max="1780" width="8.85546875" style="1" customWidth="1"/>
    <col min="1781" max="1781" width="13.28515625" style="1" customWidth="1"/>
    <col min="1782" max="1782" width="14.85546875" style="1" customWidth="1"/>
    <col min="1783" max="1783" width="11.42578125" style="1"/>
    <col min="1784" max="1784" width="22.85546875" style="1" customWidth="1"/>
    <col min="1785" max="1785" width="17" style="1" customWidth="1"/>
    <col min="1786" max="2031" width="11.42578125" style="1"/>
    <col min="2032" max="2032" width="3.85546875" style="1" customWidth="1"/>
    <col min="2033" max="2033" width="11.85546875" style="1" customWidth="1"/>
    <col min="2034" max="2034" width="40.7109375" style="1" customWidth="1"/>
    <col min="2035" max="2035" width="10.140625" style="1" customWidth="1"/>
    <col min="2036" max="2036" width="8.85546875" style="1" customWidth="1"/>
    <col min="2037" max="2037" width="13.28515625" style="1" customWidth="1"/>
    <col min="2038" max="2038" width="14.85546875" style="1" customWidth="1"/>
    <col min="2039" max="2039" width="11.42578125" style="1"/>
    <col min="2040" max="2040" width="22.85546875" style="1" customWidth="1"/>
    <col min="2041" max="2041" width="17" style="1" customWidth="1"/>
    <col min="2042" max="2287" width="11.42578125" style="1"/>
    <col min="2288" max="2288" width="3.85546875" style="1" customWidth="1"/>
    <col min="2289" max="2289" width="11.85546875" style="1" customWidth="1"/>
    <col min="2290" max="2290" width="40.7109375" style="1" customWidth="1"/>
    <col min="2291" max="2291" width="10.140625" style="1" customWidth="1"/>
    <col min="2292" max="2292" width="8.85546875" style="1" customWidth="1"/>
    <col min="2293" max="2293" width="13.28515625" style="1" customWidth="1"/>
    <col min="2294" max="2294" width="14.85546875" style="1" customWidth="1"/>
    <col min="2295" max="2295" width="11.42578125" style="1"/>
    <col min="2296" max="2296" width="22.85546875" style="1" customWidth="1"/>
    <col min="2297" max="2297" width="17" style="1" customWidth="1"/>
    <col min="2298" max="2543" width="11.42578125" style="1"/>
    <col min="2544" max="2544" width="3.85546875" style="1" customWidth="1"/>
    <col min="2545" max="2545" width="11.85546875" style="1" customWidth="1"/>
    <col min="2546" max="2546" width="40.7109375" style="1" customWidth="1"/>
    <col min="2547" max="2547" width="10.140625" style="1" customWidth="1"/>
    <col min="2548" max="2548" width="8.85546875" style="1" customWidth="1"/>
    <col min="2549" max="2549" width="13.28515625" style="1" customWidth="1"/>
    <col min="2550" max="2550" width="14.85546875" style="1" customWidth="1"/>
    <col min="2551" max="2551" width="11.42578125" style="1"/>
    <col min="2552" max="2552" width="22.85546875" style="1" customWidth="1"/>
    <col min="2553" max="2553" width="17" style="1" customWidth="1"/>
    <col min="2554" max="2799" width="11.42578125" style="1"/>
    <col min="2800" max="2800" width="3.85546875" style="1" customWidth="1"/>
    <col min="2801" max="2801" width="11.85546875" style="1" customWidth="1"/>
    <col min="2802" max="2802" width="40.7109375" style="1" customWidth="1"/>
    <col min="2803" max="2803" width="10.140625" style="1" customWidth="1"/>
    <col min="2804" max="2804" width="8.85546875" style="1" customWidth="1"/>
    <col min="2805" max="2805" width="13.28515625" style="1" customWidth="1"/>
    <col min="2806" max="2806" width="14.85546875" style="1" customWidth="1"/>
    <col min="2807" max="2807" width="11.42578125" style="1"/>
    <col min="2808" max="2808" width="22.85546875" style="1" customWidth="1"/>
    <col min="2809" max="2809" width="17" style="1" customWidth="1"/>
    <col min="2810" max="3055" width="11.42578125" style="1"/>
    <col min="3056" max="3056" width="3.85546875" style="1" customWidth="1"/>
    <col min="3057" max="3057" width="11.85546875" style="1" customWidth="1"/>
    <col min="3058" max="3058" width="40.7109375" style="1" customWidth="1"/>
    <col min="3059" max="3059" width="10.140625" style="1" customWidth="1"/>
    <col min="3060" max="3060" width="8.85546875" style="1" customWidth="1"/>
    <col min="3061" max="3061" width="13.28515625" style="1" customWidth="1"/>
    <col min="3062" max="3062" width="14.85546875" style="1" customWidth="1"/>
    <col min="3063" max="3063" width="11.42578125" style="1"/>
    <col min="3064" max="3064" width="22.85546875" style="1" customWidth="1"/>
    <col min="3065" max="3065" width="17" style="1" customWidth="1"/>
    <col min="3066" max="3311" width="11.42578125" style="1"/>
    <col min="3312" max="3312" width="3.85546875" style="1" customWidth="1"/>
    <col min="3313" max="3313" width="11.85546875" style="1" customWidth="1"/>
    <col min="3314" max="3314" width="40.7109375" style="1" customWidth="1"/>
    <col min="3315" max="3315" width="10.140625" style="1" customWidth="1"/>
    <col min="3316" max="3316" width="8.85546875" style="1" customWidth="1"/>
    <col min="3317" max="3317" width="13.28515625" style="1" customWidth="1"/>
    <col min="3318" max="3318" width="14.85546875" style="1" customWidth="1"/>
    <col min="3319" max="3319" width="11.42578125" style="1"/>
    <col min="3320" max="3320" width="22.85546875" style="1" customWidth="1"/>
    <col min="3321" max="3321" width="17" style="1" customWidth="1"/>
    <col min="3322" max="3567" width="11.42578125" style="1"/>
    <col min="3568" max="3568" width="3.85546875" style="1" customWidth="1"/>
    <col min="3569" max="3569" width="11.85546875" style="1" customWidth="1"/>
    <col min="3570" max="3570" width="40.7109375" style="1" customWidth="1"/>
    <col min="3571" max="3571" width="10.140625" style="1" customWidth="1"/>
    <col min="3572" max="3572" width="8.85546875" style="1" customWidth="1"/>
    <col min="3573" max="3573" width="13.28515625" style="1" customWidth="1"/>
    <col min="3574" max="3574" width="14.85546875" style="1" customWidth="1"/>
    <col min="3575" max="3575" width="11.42578125" style="1"/>
    <col min="3576" max="3576" width="22.85546875" style="1" customWidth="1"/>
    <col min="3577" max="3577" width="17" style="1" customWidth="1"/>
    <col min="3578" max="3823" width="11.42578125" style="1"/>
    <col min="3824" max="3824" width="3.85546875" style="1" customWidth="1"/>
    <col min="3825" max="3825" width="11.85546875" style="1" customWidth="1"/>
    <col min="3826" max="3826" width="40.7109375" style="1" customWidth="1"/>
    <col min="3827" max="3827" width="10.140625" style="1" customWidth="1"/>
    <col min="3828" max="3828" width="8.85546875" style="1" customWidth="1"/>
    <col min="3829" max="3829" width="13.28515625" style="1" customWidth="1"/>
    <col min="3830" max="3830" width="14.85546875" style="1" customWidth="1"/>
    <col min="3831" max="3831" width="11.42578125" style="1"/>
    <col min="3832" max="3832" width="22.85546875" style="1" customWidth="1"/>
    <col min="3833" max="3833" width="17" style="1" customWidth="1"/>
    <col min="3834" max="4079" width="11.42578125" style="1"/>
    <col min="4080" max="4080" width="3.85546875" style="1" customWidth="1"/>
    <col min="4081" max="4081" width="11.85546875" style="1" customWidth="1"/>
    <col min="4082" max="4082" width="40.7109375" style="1" customWidth="1"/>
    <col min="4083" max="4083" width="10.140625" style="1" customWidth="1"/>
    <col min="4084" max="4084" width="8.85546875" style="1" customWidth="1"/>
    <col min="4085" max="4085" width="13.28515625" style="1" customWidth="1"/>
    <col min="4086" max="4086" width="14.85546875" style="1" customWidth="1"/>
    <col min="4087" max="4087" width="11.42578125" style="1"/>
    <col min="4088" max="4088" width="22.85546875" style="1" customWidth="1"/>
    <col min="4089" max="4089" width="17" style="1" customWidth="1"/>
    <col min="4090" max="4335" width="11.42578125" style="1"/>
    <col min="4336" max="4336" width="3.85546875" style="1" customWidth="1"/>
    <col min="4337" max="4337" width="11.85546875" style="1" customWidth="1"/>
    <col min="4338" max="4338" width="40.7109375" style="1" customWidth="1"/>
    <col min="4339" max="4339" width="10.140625" style="1" customWidth="1"/>
    <col min="4340" max="4340" width="8.85546875" style="1" customWidth="1"/>
    <col min="4341" max="4341" width="13.28515625" style="1" customWidth="1"/>
    <col min="4342" max="4342" width="14.85546875" style="1" customWidth="1"/>
    <col min="4343" max="4343" width="11.42578125" style="1"/>
    <col min="4344" max="4344" width="22.85546875" style="1" customWidth="1"/>
    <col min="4345" max="4345" width="17" style="1" customWidth="1"/>
    <col min="4346" max="4591" width="11.42578125" style="1"/>
    <col min="4592" max="4592" width="3.85546875" style="1" customWidth="1"/>
    <col min="4593" max="4593" width="11.85546875" style="1" customWidth="1"/>
    <col min="4594" max="4594" width="40.7109375" style="1" customWidth="1"/>
    <col min="4595" max="4595" width="10.140625" style="1" customWidth="1"/>
    <col min="4596" max="4596" width="8.85546875" style="1" customWidth="1"/>
    <col min="4597" max="4597" width="13.28515625" style="1" customWidth="1"/>
    <col min="4598" max="4598" width="14.85546875" style="1" customWidth="1"/>
    <col min="4599" max="4599" width="11.42578125" style="1"/>
    <col min="4600" max="4600" width="22.85546875" style="1" customWidth="1"/>
    <col min="4601" max="4601" width="17" style="1" customWidth="1"/>
    <col min="4602" max="4847" width="11.42578125" style="1"/>
    <col min="4848" max="4848" width="3.85546875" style="1" customWidth="1"/>
    <col min="4849" max="4849" width="11.85546875" style="1" customWidth="1"/>
    <col min="4850" max="4850" width="40.7109375" style="1" customWidth="1"/>
    <col min="4851" max="4851" width="10.140625" style="1" customWidth="1"/>
    <col min="4852" max="4852" width="8.85546875" style="1" customWidth="1"/>
    <col min="4853" max="4853" width="13.28515625" style="1" customWidth="1"/>
    <col min="4854" max="4854" width="14.85546875" style="1" customWidth="1"/>
    <col min="4855" max="4855" width="11.42578125" style="1"/>
    <col min="4856" max="4856" width="22.85546875" style="1" customWidth="1"/>
    <col min="4857" max="4857" width="17" style="1" customWidth="1"/>
    <col min="4858" max="5103" width="11.42578125" style="1"/>
    <col min="5104" max="5104" width="3.85546875" style="1" customWidth="1"/>
    <col min="5105" max="5105" width="11.85546875" style="1" customWidth="1"/>
    <col min="5106" max="5106" width="40.7109375" style="1" customWidth="1"/>
    <col min="5107" max="5107" width="10.140625" style="1" customWidth="1"/>
    <col min="5108" max="5108" width="8.85546875" style="1" customWidth="1"/>
    <col min="5109" max="5109" width="13.28515625" style="1" customWidth="1"/>
    <col min="5110" max="5110" width="14.85546875" style="1" customWidth="1"/>
    <col min="5111" max="5111" width="11.42578125" style="1"/>
    <col min="5112" max="5112" width="22.85546875" style="1" customWidth="1"/>
    <col min="5113" max="5113" width="17" style="1" customWidth="1"/>
    <col min="5114" max="5359" width="11.42578125" style="1"/>
    <col min="5360" max="5360" width="3.85546875" style="1" customWidth="1"/>
    <col min="5361" max="5361" width="11.85546875" style="1" customWidth="1"/>
    <col min="5362" max="5362" width="40.7109375" style="1" customWidth="1"/>
    <col min="5363" max="5363" width="10.140625" style="1" customWidth="1"/>
    <col min="5364" max="5364" width="8.85546875" style="1" customWidth="1"/>
    <col min="5365" max="5365" width="13.28515625" style="1" customWidth="1"/>
    <col min="5366" max="5366" width="14.85546875" style="1" customWidth="1"/>
    <col min="5367" max="5367" width="11.42578125" style="1"/>
    <col min="5368" max="5368" width="22.85546875" style="1" customWidth="1"/>
    <col min="5369" max="5369" width="17" style="1" customWidth="1"/>
    <col min="5370" max="5615" width="11.42578125" style="1"/>
    <col min="5616" max="5616" width="3.85546875" style="1" customWidth="1"/>
    <col min="5617" max="5617" width="11.85546875" style="1" customWidth="1"/>
    <col min="5618" max="5618" width="40.7109375" style="1" customWidth="1"/>
    <col min="5619" max="5619" width="10.140625" style="1" customWidth="1"/>
    <col min="5620" max="5620" width="8.85546875" style="1" customWidth="1"/>
    <col min="5621" max="5621" width="13.28515625" style="1" customWidth="1"/>
    <col min="5622" max="5622" width="14.85546875" style="1" customWidth="1"/>
    <col min="5623" max="5623" width="11.42578125" style="1"/>
    <col min="5624" max="5624" width="22.85546875" style="1" customWidth="1"/>
    <col min="5625" max="5625" width="17" style="1" customWidth="1"/>
    <col min="5626" max="5871" width="11.42578125" style="1"/>
    <col min="5872" max="5872" width="3.85546875" style="1" customWidth="1"/>
    <col min="5873" max="5873" width="11.85546875" style="1" customWidth="1"/>
    <col min="5874" max="5874" width="40.7109375" style="1" customWidth="1"/>
    <col min="5875" max="5875" width="10.140625" style="1" customWidth="1"/>
    <col min="5876" max="5876" width="8.85546875" style="1" customWidth="1"/>
    <col min="5877" max="5877" width="13.28515625" style="1" customWidth="1"/>
    <col min="5878" max="5878" width="14.85546875" style="1" customWidth="1"/>
    <col min="5879" max="5879" width="11.42578125" style="1"/>
    <col min="5880" max="5880" width="22.85546875" style="1" customWidth="1"/>
    <col min="5881" max="5881" width="17" style="1" customWidth="1"/>
    <col min="5882" max="6127" width="11.42578125" style="1"/>
    <col min="6128" max="6128" width="3.85546875" style="1" customWidth="1"/>
    <col min="6129" max="6129" width="11.85546875" style="1" customWidth="1"/>
    <col min="6130" max="6130" width="40.7109375" style="1" customWidth="1"/>
    <col min="6131" max="6131" width="10.140625" style="1" customWidth="1"/>
    <col min="6132" max="6132" width="8.85546875" style="1" customWidth="1"/>
    <col min="6133" max="6133" width="13.28515625" style="1" customWidth="1"/>
    <col min="6134" max="6134" width="14.85546875" style="1" customWidth="1"/>
    <col min="6135" max="6135" width="11.42578125" style="1"/>
    <col min="6136" max="6136" width="22.85546875" style="1" customWidth="1"/>
    <col min="6137" max="6137" width="17" style="1" customWidth="1"/>
    <col min="6138" max="6383" width="11.42578125" style="1"/>
    <col min="6384" max="6384" width="3.85546875" style="1" customWidth="1"/>
    <col min="6385" max="6385" width="11.85546875" style="1" customWidth="1"/>
    <col min="6386" max="6386" width="40.7109375" style="1" customWidth="1"/>
    <col min="6387" max="6387" width="10.140625" style="1" customWidth="1"/>
    <col min="6388" max="6388" width="8.85546875" style="1" customWidth="1"/>
    <col min="6389" max="6389" width="13.28515625" style="1" customWidth="1"/>
    <col min="6390" max="6390" width="14.85546875" style="1" customWidth="1"/>
    <col min="6391" max="6391" width="11.42578125" style="1"/>
    <col min="6392" max="6392" width="22.85546875" style="1" customWidth="1"/>
    <col min="6393" max="6393" width="17" style="1" customWidth="1"/>
    <col min="6394" max="6639" width="11.42578125" style="1"/>
    <col min="6640" max="6640" width="3.85546875" style="1" customWidth="1"/>
    <col min="6641" max="6641" width="11.85546875" style="1" customWidth="1"/>
    <col min="6642" max="6642" width="40.7109375" style="1" customWidth="1"/>
    <col min="6643" max="6643" width="10.140625" style="1" customWidth="1"/>
    <col min="6644" max="6644" width="8.85546875" style="1" customWidth="1"/>
    <col min="6645" max="6645" width="13.28515625" style="1" customWidth="1"/>
    <col min="6646" max="6646" width="14.85546875" style="1" customWidth="1"/>
    <col min="6647" max="6647" width="11.42578125" style="1"/>
    <col min="6648" max="6648" width="22.85546875" style="1" customWidth="1"/>
    <col min="6649" max="6649" width="17" style="1" customWidth="1"/>
    <col min="6650" max="6895" width="11.42578125" style="1"/>
    <col min="6896" max="6896" width="3.85546875" style="1" customWidth="1"/>
    <col min="6897" max="6897" width="11.85546875" style="1" customWidth="1"/>
    <col min="6898" max="6898" width="40.7109375" style="1" customWidth="1"/>
    <col min="6899" max="6899" width="10.140625" style="1" customWidth="1"/>
    <col min="6900" max="6900" width="8.85546875" style="1" customWidth="1"/>
    <col min="6901" max="6901" width="13.28515625" style="1" customWidth="1"/>
    <col min="6902" max="6902" width="14.85546875" style="1" customWidth="1"/>
    <col min="6903" max="6903" width="11.42578125" style="1"/>
    <col min="6904" max="6904" width="22.85546875" style="1" customWidth="1"/>
    <col min="6905" max="6905" width="17" style="1" customWidth="1"/>
    <col min="6906" max="7151" width="11.42578125" style="1"/>
    <col min="7152" max="7152" width="3.85546875" style="1" customWidth="1"/>
    <col min="7153" max="7153" width="11.85546875" style="1" customWidth="1"/>
    <col min="7154" max="7154" width="40.7109375" style="1" customWidth="1"/>
    <col min="7155" max="7155" width="10.140625" style="1" customWidth="1"/>
    <col min="7156" max="7156" width="8.85546875" style="1" customWidth="1"/>
    <col min="7157" max="7157" width="13.28515625" style="1" customWidth="1"/>
    <col min="7158" max="7158" width="14.85546875" style="1" customWidth="1"/>
    <col min="7159" max="7159" width="11.42578125" style="1"/>
    <col min="7160" max="7160" width="22.85546875" style="1" customWidth="1"/>
    <col min="7161" max="7161" width="17" style="1" customWidth="1"/>
    <col min="7162" max="7407" width="11.42578125" style="1"/>
    <col min="7408" max="7408" width="3.85546875" style="1" customWidth="1"/>
    <col min="7409" max="7409" width="11.85546875" style="1" customWidth="1"/>
    <col min="7410" max="7410" width="40.7109375" style="1" customWidth="1"/>
    <col min="7411" max="7411" width="10.140625" style="1" customWidth="1"/>
    <col min="7412" max="7412" width="8.85546875" style="1" customWidth="1"/>
    <col min="7413" max="7413" width="13.28515625" style="1" customWidth="1"/>
    <col min="7414" max="7414" width="14.85546875" style="1" customWidth="1"/>
    <col min="7415" max="7415" width="11.42578125" style="1"/>
    <col min="7416" max="7416" width="22.85546875" style="1" customWidth="1"/>
    <col min="7417" max="7417" width="17" style="1" customWidth="1"/>
    <col min="7418" max="7663" width="11.42578125" style="1"/>
    <col min="7664" max="7664" width="3.85546875" style="1" customWidth="1"/>
    <col min="7665" max="7665" width="11.85546875" style="1" customWidth="1"/>
    <col min="7666" max="7666" width="40.7109375" style="1" customWidth="1"/>
    <col min="7667" max="7667" width="10.140625" style="1" customWidth="1"/>
    <col min="7668" max="7668" width="8.85546875" style="1" customWidth="1"/>
    <col min="7669" max="7669" width="13.28515625" style="1" customWidth="1"/>
    <col min="7670" max="7670" width="14.85546875" style="1" customWidth="1"/>
    <col min="7671" max="7671" width="11.42578125" style="1"/>
    <col min="7672" max="7672" width="22.85546875" style="1" customWidth="1"/>
    <col min="7673" max="7673" width="17" style="1" customWidth="1"/>
    <col min="7674" max="7919" width="11.42578125" style="1"/>
    <col min="7920" max="7920" width="3.85546875" style="1" customWidth="1"/>
    <col min="7921" max="7921" width="11.85546875" style="1" customWidth="1"/>
    <col min="7922" max="7922" width="40.7109375" style="1" customWidth="1"/>
    <col min="7923" max="7923" width="10.140625" style="1" customWidth="1"/>
    <col min="7924" max="7924" width="8.85546875" style="1" customWidth="1"/>
    <col min="7925" max="7925" width="13.28515625" style="1" customWidth="1"/>
    <col min="7926" max="7926" width="14.85546875" style="1" customWidth="1"/>
    <col min="7927" max="7927" width="11.42578125" style="1"/>
    <col min="7928" max="7928" width="22.85546875" style="1" customWidth="1"/>
    <col min="7929" max="7929" width="17" style="1" customWidth="1"/>
    <col min="7930" max="8175" width="11.42578125" style="1"/>
    <col min="8176" max="8176" width="3.85546875" style="1" customWidth="1"/>
    <col min="8177" max="8177" width="11.85546875" style="1" customWidth="1"/>
    <col min="8178" max="8178" width="40.7109375" style="1" customWidth="1"/>
    <col min="8179" max="8179" width="10.140625" style="1" customWidth="1"/>
    <col min="8180" max="8180" width="8.85546875" style="1" customWidth="1"/>
    <col min="8181" max="8181" width="13.28515625" style="1" customWidth="1"/>
    <col min="8182" max="8182" width="14.85546875" style="1" customWidth="1"/>
    <col min="8183" max="8183" width="11.42578125" style="1"/>
    <col min="8184" max="8184" width="22.85546875" style="1" customWidth="1"/>
    <col min="8185" max="8185" width="17" style="1" customWidth="1"/>
    <col min="8186" max="8431" width="11.42578125" style="1"/>
    <col min="8432" max="8432" width="3.85546875" style="1" customWidth="1"/>
    <col min="8433" max="8433" width="11.85546875" style="1" customWidth="1"/>
    <col min="8434" max="8434" width="40.7109375" style="1" customWidth="1"/>
    <col min="8435" max="8435" width="10.140625" style="1" customWidth="1"/>
    <col min="8436" max="8436" width="8.85546875" style="1" customWidth="1"/>
    <col min="8437" max="8437" width="13.28515625" style="1" customWidth="1"/>
    <col min="8438" max="8438" width="14.85546875" style="1" customWidth="1"/>
    <col min="8439" max="8439" width="11.42578125" style="1"/>
    <col min="8440" max="8440" width="22.85546875" style="1" customWidth="1"/>
    <col min="8441" max="8441" width="17" style="1" customWidth="1"/>
    <col min="8442" max="8687" width="11.42578125" style="1"/>
    <col min="8688" max="8688" width="3.85546875" style="1" customWidth="1"/>
    <col min="8689" max="8689" width="11.85546875" style="1" customWidth="1"/>
    <col min="8690" max="8690" width="40.7109375" style="1" customWidth="1"/>
    <col min="8691" max="8691" width="10.140625" style="1" customWidth="1"/>
    <col min="8692" max="8692" width="8.85546875" style="1" customWidth="1"/>
    <col min="8693" max="8693" width="13.28515625" style="1" customWidth="1"/>
    <col min="8694" max="8694" width="14.85546875" style="1" customWidth="1"/>
    <col min="8695" max="8695" width="11.42578125" style="1"/>
    <col min="8696" max="8696" width="22.85546875" style="1" customWidth="1"/>
    <col min="8697" max="8697" width="17" style="1" customWidth="1"/>
    <col min="8698" max="8943" width="11.42578125" style="1"/>
    <col min="8944" max="8944" width="3.85546875" style="1" customWidth="1"/>
    <col min="8945" max="8945" width="11.85546875" style="1" customWidth="1"/>
    <col min="8946" max="8946" width="40.7109375" style="1" customWidth="1"/>
    <col min="8947" max="8947" width="10.140625" style="1" customWidth="1"/>
    <col min="8948" max="8948" width="8.85546875" style="1" customWidth="1"/>
    <col min="8949" max="8949" width="13.28515625" style="1" customWidth="1"/>
    <col min="8950" max="8950" width="14.85546875" style="1" customWidth="1"/>
    <col min="8951" max="8951" width="11.42578125" style="1"/>
    <col min="8952" max="8952" width="22.85546875" style="1" customWidth="1"/>
    <col min="8953" max="8953" width="17" style="1" customWidth="1"/>
    <col min="8954" max="9199" width="11.42578125" style="1"/>
    <col min="9200" max="9200" width="3.85546875" style="1" customWidth="1"/>
    <col min="9201" max="9201" width="11.85546875" style="1" customWidth="1"/>
    <col min="9202" max="9202" width="40.7109375" style="1" customWidth="1"/>
    <col min="9203" max="9203" width="10.140625" style="1" customWidth="1"/>
    <col min="9204" max="9204" width="8.85546875" style="1" customWidth="1"/>
    <col min="9205" max="9205" width="13.28515625" style="1" customWidth="1"/>
    <col min="9206" max="9206" width="14.85546875" style="1" customWidth="1"/>
    <col min="9207" max="9207" width="11.42578125" style="1"/>
    <col min="9208" max="9208" width="22.85546875" style="1" customWidth="1"/>
    <col min="9209" max="9209" width="17" style="1" customWidth="1"/>
    <col min="9210" max="9455" width="11.42578125" style="1"/>
    <col min="9456" max="9456" width="3.85546875" style="1" customWidth="1"/>
    <col min="9457" max="9457" width="11.85546875" style="1" customWidth="1"/>
    <col min="9458" max="9458" width="40.7109375" style="1" customWidth="1"/>
    <col min="9459" max="9459" width="10.140625" style="1" customWidth="1"/>
    <col min="9460" max="9460" width="8.85546875" style="1" customWidth="1"/>
    <col min="9461" max="9461" width="13.28515625" style="1" customWidth="1"/>
    <col min="9462" max="9462" width="14.85546875" style="1" customWidth="1"/>
    <col min="9463" max="9463" width="11.42578125" style="1"/>
    <col min="9464" max="9464" width="22.85546875" style="1" customWidth="1"/>
    <col min="9465" max="9465" width="17" style="1" customWidth="1"/>
    <col min="9466" max="9711" width="11.42578125" style="1"/>
    <col min="9712" max="9712" width="3.85546875" style="1" customWidth="1"/>
    <col min="9713" max="9713" width="11.85546875" style="1" customWidth="1"/>
    <col min="9714" max="9714" width="40.7109375" style="1" customWidth="1"/>
    <col min="9715" max="9715" width="10.140625" style="1" customWidth="1"/>
    <col min="9716" max="9716" width="8.85546875" style="1" customWidth="1"/>
    <col min="9717" max="9717" width="13.28515625" style="1" customWidth="1"/>
    <col min="9718" max="9718" width="14.85546875" style="1" customWidth="1"/>
    <col min="9719" max="9719" width="11.42578125" style="1"/>
    <col min="9720" max="9720" width="22.85546875" style="1" customWidth="1"/>
    <col min="9721" max="9721" width="17" style="1" customWidth="1"/>
    <col min="9722" max="9967" width="11.42578125" style="1"/>
    <col min="9968" max="9968" width="3.85546875" style="1" customWidth="1"/>
    <col min="9969" max="9969" width="11.85546875" style="1" customWidth="1"/>
    <col min="9970" max="9970" width="40.7109375" style="1" customWidth="1"/>
    <col min="9971" max="9971" width="10.140625" style="1" customWidth="1"/>
    <col min="9972" max="9972" width="8.85546875" style="1" customWidth="1"/>
    <col min="9973" max="9973" width="13.28515625" style="1" customWidth="1"/>
    <col min="9974" max="9974" width="14.85546875" style="1" customWidth="1"/>
    <col min="9975" max="9975" width="11.42578125" style="1"/>
    <col min="9976" max="9976" width="22.85546875" style="1" customWidth="1"/>
    <col min="9977" max="9977" width="17" style="1" customWidth="1"/>
    <col min="9978" max="10223" width="11.42578125" style="1"/>
    <col min="10224" max="10224" width="3.85546875" style="1" customWidth="1"/>
    <col min="10225" max="10225" width="11.85546875" style="1" customWidth="1"/>
    <col min="10226" max="10226" width="40.7109375" style="1" customWidth="1"/>
    <col min="10227" max="10227" width="10.140625" style="1" customWidth="1"/>
    <col min="10228" max="10228" width="8.85546875" style="1" customWidth="1"/>
    <col min="10229" max="10229" width="13.28515625" style="1" customWidth="1"/>
    <col min="10230" max="10230" width="14.85546875" style="1" customWidth="1"/>
    <col min="10231" max="10231" width="11.42578125" style="1"/>
    <col min="10232" max="10232" width="22.85546875" style="1" customWidth="1"/>
    <col min="10233" max="10233" width="17" style="1" customWidth="1"/>
    <col min="10234" max="10479" width="11.42578125" style="1"/>
    <col min="10480" max="10480" width="3.85546875" style="1" customWidth="1"/>
    <col min="10481" max="10481" width="11.85546875" style="1" customWidth="1"/>
    <col min="10482" max="10482" width="40.7109375" style="1" customWidth="1"/>
    <col min="10483" max="10483" width="10.140625" style="1" customWidth="1"/>
    <col min="10484" max="10484" width="8.85546875" style="1" customWidth="1"/>
    <col min="10485" max="10485" width="13.28515625" style="1" customWidth="1"/>
    <col min="10486" max="10486" width="14.85546875" style="1" customWidth="1"/>
    <col min="10487" max="10487" width="11.42578125" style="1"/>
    <col min="10488" max="10488" width="22.85546875" style="1" customWidth="1"/>
    <col min="10489" max="10489" width="17" style="1" customWidth="1"/>
    <col min="10490" max="10735" width="11.42578125" style="1"/>
    <col min="10736" max="10736" width="3.85546875" style="1" customWidth="1"/>
    <col min="10737" max="10737" width="11.85546875" style="1" customWidth="1"/>
    <col min="10738" max="10738" width="40.7109375" style="1" customWidth="1"/>
    <col min="10739" max="10739" width="10.140625" style="1" customWidth="1"/>
    <col min="10740" max="10740" width="8.85546875" style="1" customWidth="1"/>
    <col min="10741" max="10741" width="13.28515625" style="1" customWidth="1"/>
    <col min="10742" max="10742" width="14.85546875" style="1" customWidth="1"/>
    <col min="10743" max="10743" width="11.42578125" style="1"/>
    <col min="10744" max="10744" width="22.85546875" style="1" customWidth="1"/>
    <col min="10745" max="10745" width="17" style="1" customWidth="1"/>
    <col min="10746" max="10991" width="11.42578125" style="1"/>
    <col min="10992" max="10992" width="3.85546875" style="1" customWidth="1"/>
    <col min="10993" max="10993" width="11.85546875" style="1" customWidth="1"/>
    <col min="10994" max="10994" width="40.7109375" style="1" customWidth="1"/>
    <col min="10995" max="10995" width="10.140625" style="1" customWidth="1"/>
    <col min="10996" max="10996" width="8.85546875" style="1" customWidth="1"/>
    <col min="10997" max="10997" width="13.28515625" style="1" customWidth="1"/>
    <col min="10998" max="10998" width="14.85546875" style="1" customWidth="1"/>
    <col min="10999" max="10999" width="11.42578125" style="1"/>
    <col min="11000" max="11000" width="22.85546875" style="1" customWidth="1"/>
    <col min="11001" max="11001" width="17" style="1" customWidth="1"/>
    <col min="11002" max="11247" width="11.42578125" style="1"/>
    <col min="11248" max="11248" width="3.85546875" style="1" customWidth="1"/>
    <col min="11249" max="11249" width="11.85546875" style="1" customWidth="1"/>
    <col min="11250" max="11250" width="40.7109375" style="1" customWidth="1"/>
    <col min="11251" max="11251" width="10.140625" style="1" customWidth="1"/>
    <col min="11252" max="11252" width="8.85546875" style="1" customWidth="1"/>
    <col min="11253" max="11253" width="13.28515625" style="1" customWidth="1"/>
    <col min="11254" max="11254" width="14.85546875" style="1" customWidth="1"/>
    <col min="11255" max="11255" width="11.42578125" style="1"/>
    <col min="11256" max="11256" width="22.85546875" style="1" customWidth="1"/>
    <col min="11257" max="11257" width="17" style="1" customWidth="1"/>
    <col min="11258" max="11503" width="11.42578125" style="1"/>
    <col min="11504" max="11504" width="3.85546875" style="1" customWidth="1"/>
    <col min="11505" max="11505" width="11.85546875" style="1" customWidth="1"/>
    <col min="11506" max="11506" width="40.7109375" style="1" customWidth="1"/>
    <col min="11507" max="11507" width="10.140625" style="1" customWidth="1"/>
    <col min="11508" max="11508" width="8.85546875" style="1" customWidth="1"/>
    <col min="11509" max="11509" width="13.28515625" style="1" customWidth="1"/>
    <col min="11510" max="11510" width="14.85546875" style="1" customWidth="1"/>
    <col min="11511" max="11511" width="11.42578125" style="1"/>
    <col min="11512" max="11512" width="22.85546875" style="1" customWidth="1"/>
    <col min="11513" max="11513" width="17" style="1" customWidth="1"/>
    <col min="11514" max="11759" width="11.42578125" style="1"/>
    <col min="11760" max="11760" width="3.85546875" style="1" customWidth="1"/>
    <col min="11761" max="11761" width="11.85546875" style="1" customWidth="1"/>
    <col min="11762" max="11762" width="40.7109375" style="1" customWidth="1"/>
    <col min="11763" max="11763" width="10.140625" style="1" customWidth="1"/>
    <col min="11764" max="11764" width="8.85546875" style="1" customWidth="1"/>
    <col min="11765" max="11765" width="13.28515625" style="1" customWidth="1"/>
    <col min="11766" max="11766" width="14.85546875" style="1" customWidth="1"/>
    <col min="11767" max="11767" width="11.42578125" style="1"/>
    <col min="11768" max="11768" width="22.85546875" style="1" customWidth="1"/>
    <col min="11769" max="11769" width="17" style="1" customWidth="1"/>
    <col min="11770" max="12015" width="11.42578125" style="1"/>
    <col min="12016" max="12016" width="3.85546875" style="1" customWidth="1"/>
    <col min="12017" max="12017" width="11.85546875" style="1" customWidth="1"/>
    <col min="12018" max="12018" width="40.7109375" style="1" customWidth="1"/>
    <col min="12019" max="12019" width="10.140625" style="1" customWidth="1"/>
    <col min="12020" max="12020" width="8.85546875" style="1" customWidth="1"/>
    <col min="12021" max="12021" width="13.28515625" style="1" customWidth="1"/>
    <col min="12022" max="12022" width="14.85546875" style="1" customWidth="1"/>
    <col min="12023" max="12023" width="11.42578125" style="1"/>
    <col min="12024" max="12024" width="22.85546875" style="1" customWidth="1"/>
    <col min="12025" max="12025" width="17" style="1" customWidth="1"/>
    <col min="12026" max="12271" width="11.42578125" style="1"/>
    <col min="12272" max="12272" width="3.85546875" style="1" customWidth="1"/>
    <col min="12273" max="12273" width="11.85546875" style="1" customWidth="1"/>
    <col min="12274" max="12274" width="40.7109375" style="1" customWidth="1"/>
    <col min="12275" max="12275" width="10.140625" style="1" customWidth="1"/>
    <col min="12276" max="12276" width="8.85546875" style="1" customWidth="1"/>
    <col min="12277" max="12277" width="13.28515625" style="1" customWidth="1"/>
    <col min="12278" max="12278" width="14.85546875" style="1" customWidth="1"/>
    <col min="12279" max="12279" width="11.42578125" style="1"/>
    <col min="12280" max="12280" width="22.85546875" style="1" customWidth="1"/>
    <col min="12281" max="12281" width="17" style="1" customWidth="1"/>
    <col min="12282" max="12527" width="11.42578125" style="1"/>
    <col min="12528" max="12528" width="3.85546875" style="1" customWidth="1"/>
    <col min="12529" max="12529" width="11.85546875" style="1" customWidth="1"/>
    <col min="12530" max="12530" width="40.7109375" style="1" customWidth="1"/>
    <col min="12531" max="12531" width="10.140625" style="1" customWidth="1"/>
    <col min="12532" max="12532" width="8.85546875" style="1" customWidth="1"/>
    <col min="12533" max="12533" width="13.28515625" style="1" customWidth="1"/>
    <col min="12534" max="12534" width="14.85546875" style="1" customWidth="1"/>
    <col min="12535" max="12535" width="11.42578125" style="1"/>
    <col min="12536" max="12536" width="22.85546875" style="1" customWidth="1"/>
    <col min="12537" max="12537" width="17" style="1" customWidth="1"/>
    <col min="12538" max="12783" width="11.42578125" style="1"/>
    <col min="12784" max="12784" width="3.85546875" style="1" customWidth="1"/>
    <col min="12785" max="12785" width="11.85546875" style="1" customWidth="1"/>
    <col min="12786" max="12786" width="40.7109375" style="1" customWidth="1"/>
    <col min="12787" max="12787" width="10.140625" style="1" customWidth="1"/>
    <col min="12788" max="12788" width="8.85546875" style="1" customWidth="1"/>
    <col min="12789" max="12789" width="13.28515625" style="1" customWidth="1"/>
    <col min="12790" max="12790" width="14.85546875" style="1" customWidth="1"/>
    <col min="12791" max="12791" width="11.42578125" style="1"/>
    <col min="12792" max="12792" width="22.85546875" style="1" customWidth="1"/>
    <col min="12793" max="12793" width="17" style="1" customWidth="1"/>
    <col min="12794" max="13039" width="11.42578125" style="1"/>
    <col min="13040" max="13040" width="3.85546875" style="1" customWidth="1"/>
    <col min="13041" max="13041" width="11.85546875" style="1" customWidth="1"/>
    <col min="13042" max="13042" width="40.7109375" style="1" customWidth="1"/>
    <col min="13043" max="13043" width="10.140625" style="1" customWidth="1"/>
    <col min="13044" max="13044" width="8.85546875" style="1" customWidth="1"/>
    <col min="13045" max="13045" width="13.28515625" style="1" customWidth="1"/>
    <col min="13046" max="13046" width="14.85546875" style="1" customWidth="1"/>
    <col min="13047" max="13047" width="11.42578125" style="1"/>
    <col min="13048" max="13048" width="22.85546875" style="1" customWidth="1"/>
    <col min="13049" max="13049" width="17" style="1" customWidth="1"/>
    <col min="13050" max="13295" width="11.42578125" style="1"/>
    <col min="13296" max="13296" width="3.85546875" style="1" customWidth="1"/>
    <col min="13297" max="13297" width="11.85546875" style="1" customWidth="1"/>
    <col min="13298" max="13298" width="40.7109375" style="1" customWidth="1"/>
    <col min="13299" max="13299" width="10.140625" style="1" customWidth="1"/>
    <col min="13300" max="13300" width="8.85546875" style="1" customWidth="1"/>
    <col min="13301" max="13301" width="13.28515625" style="1" customWidth="1"/>
    <col min="13302" max="13302" width="14.85546875" style="1" customWidth="1"/>
    <col min="13303" max="13303" width="11.42578125" style="1"/>
    <col min="13304" max="13304" width="22.85546875" style="1" customWidth="1"/>
    <col min="13305" max="13305" width="17" style="1" customWidth="1"/>
    <col min="13306" max="13551" width="11.42578125" style="1"/>
    <col min="13552" max="13552" width="3.85546875" style="1" customWidth="1"/>
    <col min="13553" max="13553" width="11.85546875" style="1" customWidth="1"/>
    <col min="13554" max="13554" width="40.7109375" style="1" customWidth="1"/>
    <col min="13555" max="13555" width="10.140625" style="1" customWidth="1"/>
    <col min="13556" max="13556" width="8.85546875" style="1" customWidth="1"/>
    <col min="13557" max="13557" width="13.28515625" style="1" customWidth="1"/>
    <col min="13558" max="13558" width="14.85546875" style="1" customWidth="1"/>
    <col min="13559" max="13559" width="11.42578125" style="1"/>
    <col min="13560" max="13560" width="22.85546875" style="1" customWidth="1"/>
    <col min="13561" max="13561" width="17" style="1" customWidth="1"/>
    <col min="13562" max="13807" width="11.42578125" style="1"/>
    <col min="13808" max="13808" width="3.85546875" style="1" customWidth="1"/>
    <col min="13809" max="13809" width="11.85546875" style="1" customWidth="1"/>
    <col min="13810" max="13810" width="40.7109375" style="1" customWidth="1"/>
    <col min="13811" max="13811" width="10.140625" style="1" customWidth="1"/>
    <col min="13812" max="13812" width="8.85546875" style="1" customWidth="1"/>
    <col min="13813" max="13813" width="13.28515625" style="1" customWidth="1"/>
    <col min="13814" max="13814" width="14.85546875" style="1" customWidth="1"/>
    <col min="13815" max="13815" width="11.42578125" style="1"/>
    <col min="13816" max="13816" width="22.85546875" style="1" customWidth="1"/>
    <col min="13817" max="13817" width="17" style="1" customWidth="1"/>
    <col min="13818" max="14063" width="11.42578125" style="1"/>
    <col min="14064" max="14064" width="3.85546875" style="1" customWidth="1"/>
    <col min="14065" max="14065" width="11.85546875" style="1" customWidth="1"/>
    <col min="14066" max="14066" width="40.7109375" style="1" customWidth="1"/>
    <col min="14067" max="14067" width="10.140625" style="1" customWidth="1"/>
    <col min="14068" max="14068" width="8.85546875" style="1" customWidth="1"/>
    <col min="14069" max="14069" width="13.28515625" style="1" customWidth="1"/>
    <col min="14070" max="14070" width="14.85546875" style="1" customWidth="1"/>
    <col min="14071" max="14071" width="11.42578125" style="1"/>
    <col min="14072" max="14072" width="22.85546875" style="1" customWidth="1"/>
    <col min="14073" max="14073" width="17" style="1" customWidth="1"/>
    <col min="14074" max="14319" width="11.42578125" style="1"/>
    <col min="14320" max="14320" width="3.85546875" style="1" customWidth="1"/>
    <col min="14321" max="14321" width="11.85546875" style="1" customWidth="1"/>
    <col min="14322" max="14322" width="40.7109375" style="1" customWidth="1"/>
    <col min="14323" max="14323" width="10.140625" style="1" customWidth="1"/>
    <col min="14324" max="14324" width="8.85546875" style="1" customWidth="1"/>
    <col min="14325" max="14325" width="13.28515625" style="1" customWidth="1"/>
    <col min="14326" max="14326" width="14.85546875" style="1" customWidth="1"/>
    <col min="14327" max="14327" width="11.42578125" style="1"/>
    <col min="14328" max="14328" width="22.85546875" style="1" customWidth="1"/>
    <col min="14329" max="14329" width="17" style="1" customWidth="1"/>
    <col min="14330" max="14575" width="11.42578125" style="1"/>
    <col min="14576" max="14576" width="3.85546875" style="1" customWidth="1"/>
    <col min="14577" max="14577" width="11.85546875" style="1" customWidth="1"/>
    <col min="14578" max="14578" width="40.7109375" style="1" customWidth="1"/>
    <col min="14579" max="14579" width="10.140625" style="1" customWidth="1"/>
    <col min="14580" max="14580" width="8.85546875" style="1" customWidth="1"/>
    <col min="14581" max="14581" width="13.28515625" style="1" customWidth="1"/>
    <col min="14582" max="14582" width="14.85546875" style="1" customWidth="1"/>
    <col min="14583" max="14583" width="11.42578125" style="1"/>
    <col min="14584" max="14584" width="22.85546875" style="1" customWidth="1"/>
    <col min="14585" max="14585" width="17" style="1" customWidth="1"/>
    <col min="14586" max="14831" width="11.42578125" style="1"/>
    <col min="14832" max="14832" width="3.85546875" style="1" customWidth="1"/>
    <col min="14833" max="14833" width="11.85546875" style="1" customWidth="1"/>
    <col min="14834" max="14834" width="40.7109375" style="1" customWidth="1"/>
    <col min="14835" max="14835" width="10.140625" style="1" customWidth="1"/>
    <col min="14836" max="14836" width="8.85546875" style="1" customWidth="1"/>
    <col min="14837" max="14837" width="13.28515625" style="1" customWidth="1"/>
    <col min="14838" max="14838" width="14.85546875" style="1" customWidth="1"/>
    <col min="14839" max="14839" width="11.42578125" style="1"/>
    <col min="14840" max="14840" width="22.85546875" style="1" customWidth="1"/>
    <col min="14841" max="14841" width="17" style="1" customWidth="1"/>
    <col min="14842" max="15087" width="11.42578125" style="1"/>
    <col min="15088" max="15088" width="3.85546875" style="1" customWidth="1"/>
    <col min="15089" max="15089" width="11.85546875" style="1" customWidth="1"/>
    <col min="15090" max="15090" width="40.7109375" style="1" customWidth="1"/>
    <col min="15091" max="15091" width="10.140625" style="1" customWidth="1"/>
    <col min="15092" max="15092" width="8.85546875" style="1" customWidth="1"/>
    <col min="15093" max="15093" width="13.28515625" style="1" customWidth="1"/>
    <col min="15094" max="15094" width="14.85546875" style="1" customWidth="1"/>
    <col min="15095" max="15095" width="11.42578125" style="1"/>
    <col min="15096" max="15096" width="22.85546875" style="1" customWidth="1"/>
    <col min="15097" max="15097" width="17" style="1" customWidth="1"/>
    <col min="15098" max="15343" width="11.42578125" style="1"/>
    <col min="15344" max="15344" width="3.85546875" style="1" customWidth="1"/>
    <col min="15345" max="15345" width="11.85546875" style="1" customWidth="1"/>
    <col min="15346" max="15346" width="40.7109375" style="1" customWidth="1"/>
    <col min="15347" max="15347" width="10.140625" style="1" customWidth="1"/>
    <col min="15348" max="15348" width="8.85546875" style="1" customWidth="1"/>
    <col min="15349" max="15349" width="13.28515625" style="1" customWidth="1"/>
    <col min="15350" max="15350" width="14.85546875" style="1" customWidth="1"/>
    <col min="15351" max="15351" width="11.42578125" style="1"/>
    <col min="15352" max="15352" width="22.85546875" style="1" customWidth="1"/>
    <col min="15353" max="15353" width="17" style="1" customWidth="1"/>
    <col min="15354" max="15599" width="11.42578125" style="1"/>
    <col min="15600" max="15600" width="3.85546875" style="1" customWidth="1"/>
    <col min="15601" max="15601" width="11.85546875" style="1" customWidth="1"/>
    <col min="15602" max="15602" width="40.7109375" style="1" customWidth="1"/>
    <col min="15603" max="15603" width="10.140625" style="1" customWidth="1"/>
    <col min="15604" max="15604" width="8.85546875" style="1" customWidth="1"/>
    <col min="15605" max="15605" width="13.28515625" style="1" customWidth="1"/>
    <col min="15606" max="15606" width="14.85546875" style="1" customWidth="1"/>
    <col min="15607" max="15607" width="11.42578125" style="1"/>
    <col min="15608" max="15608" width="22.85546875" style="1" customWidth="1"/>
    <col min="15609" max="15609" width="17" style="1" customWidth="1"/>
    <col min="15610" max="15855" width="11.42578125" style="1"/>
    <col min="15856" max="15856" width="3.85546875" style="1" customWidth="1"/>
    <col min="15857" max="15857" width="11.85546875" style="1" customWidth="1"/>
    <col min="15858" max="15858" width="40.7109375" style="1" customWidth="1"/>
    <col min="15859" max="15859" width="10.140625" style="1" customWidth="1"/>
    <col min="15860" max="15860" width="8.85546875" style="1" customWidth="1"/>
    <col min="15861" max="15861" width="13.28515625" style="1" customWidth="1"/>
    <col min="15862" max="15862" width="14.85546875" style="1" customWidth="1"/>
    <col min="15863" max="15863" width="11.42578125" style="1"/>
    <col min="15864" max="15864" width="22.85546875" style="1" customWidth="1"/>
    <col min="15865" max="15865" width="17" style="1" customWidth="1"/>
    <col min="15866" max="16111" width="11.42578125" style="1"/>
    <col min="16112" max="16112" width="3.85546875" style="1" customWidth="1"/>
    <col min="16113" max="16113" width="11.85546875" style="1" customWidth="1"/>
    <col min="16114" max="16114" width="40.7109375" style="1" customWidth="1"/>
    <col min="16115" max="16115" width="10.140625" style="1" customWidth="1"/>
    <col min="16116" max="16116" width="8.85546875" style="1" customWidth="1"/>
    <col min="16117" max="16117" width="13.28515625" style="1" customWidth="1"/>
    <col min="16118" max="16118" width="14.85546875" style="1" customWidth="1"/>
    <col min="16119" max="16119" width="11.42578125" style="1"/>
    <col min="16120" max="16120" width="22.85546875" style="1" customWidth="1"/>
    <col min="16121" max="16121" width="17" style="1" customWidth="1"/>
    <col min="16122" max="16384" width="11.42578125" style="1"/>
  </cols>
  <sheetData>
    <row r="3" spans="1:7" ht="28.5" customHeight="1">
      <c r="A3" s="86"/>
      <c r="B3" s="86"/>
      <c r="C3" s="86"/>
      <c r="D3" s="86"/>
      <c r="E3" s="86"/>
      <c r="F3" s="86"/>
      <c r="G3" s="86"/>
    </row>
    <row r="4" spans="1:7" ht="28.9" customHeight="1">
      <c r="A4" s="86"/>
      <c r="B4" s="86"/>
      <c r="C4" s="86"/>
      <c r="D4" s="86"/>
      <c r="E4" s="86"/>
      <c r="F4" s="86"/>
      <c r="G4" s="86"/>
    </row>
    <row r="5" spans="1:7" ht="28.9" customHeight="1">
      <c r="A5" s="55"/>
      <c r="B5" s="55"/>
      <c r="C5" s="55"/>
      <c r="D5" s="55"/>
      <c r="E5" s="55"/>
      <c r="F5" s="55"/>
      <c r="G5" s="55"/>
    </row>
    <row r="6" spans="1:7" ht="59.45" customHeight="1">
      <c r="A6" s="87"/>
      <c r="B6" s="87"/>
      <c r="C6" s="87"/>
      <c r="D6" s="87"/>
      <c r="E6" s="87"/>
      <c r="F6" s="87"/>
      <c r="G6" s="87"/>
    </row>
    <row r="7" spans="1:7" ht="17.25" customHeight="1">
      <c r="A7" s="88"/>
      <c r="B7" s="88"/>
      <c r="C7" s="88"/>
      <c r="D7" s="88"/>
      <c r="E7" s="88"/>
      <c r="F7" s="88"/>
      <c r="G7" s="88"/>
    </row>
    <row r="8" spans="1:7" ht="7.9" hidden="1" customHeight="1">
      <c r="A8" s="46"/>
      <c r="C8" s="47"/>
      <c r="D8" s="47"/>
      <c r="F8" s="47"/>
      <c r="G8" s="48"/>
    </row>
    <row r="9" spans="1:7" ht="63" customHeight="1">
      <c r="A9" s="89" t="s">
        <v>44</v>
      </c>
      <c r="B9" s="89"/>
      <c r="C9" s="89"/>
      <c r="D9" s="89"/>
      <c r="E9" s="89"/>
      <c r="F9" s="89"/>
      <c r="G9" s="89"/>
    </row>
    <row r="10" spans="1:7" ht="7.5" customHeight="1">
      <c r="A10" s="2"/>
      <c r="B10" s="2"/>
      <c r="C10" s="3"/>
      <c r="D10" s="3"/>
      <c r="E10" s="3"/>
      <c r="F10" s="2"/>
      <c r="G10" s="2"/>
    </row>
    <row r="11" spans="1:7" ht="30.6" customHeight="1">
      <c r="A11" s="85" t="s">
        <v>40</v>
      </c>
      <c r="B11" s="85"/>
      <c r="C11" s="90" t="s">
        <v>45</v>
      </c>
      <c r="D11" s="90"/>
      <c r="E11" s="5"/>
      <c r="F11" s="52" t="s">
        <v>1</v>
      </c>
      <c r="G11" s="54">
        <v>46011</v>
      </c>
    </row>
    <row r="12" spans="1:7" ht="54" customHeight="1">
      <c r="A12" s="85" t="s">
        <v>41</v>
      </c>
      <c r="B12" s="85"/>
      <c r="C12" s="91" t="s">
        <v>46</v>
      </c>
      <c r="D12" s="91"/>
      <c r="E12" s="5"/>
      <c r="F12" s="52" t="s">
        <v>3</v>
      </c>
      <c r="G12" s="52">
        <v>1432</v>
      </c>
    </row>
    <row r="13" spans="1:7" ht="30.6" customHeight="1">
      <c r="A13" s="85" t="s">
        <v>30</v>
      </c>
      <c r="B13" s="85"/>
      <c r="C13" s="84" t="s">
        <v>47</v>
      </c>
      <c r="D13" s="84"/>
      <c r="E13" s="5"/>
      <c r="F13" s="10"/>
      <c r="G13" s="10"/>
    </row>
    <row r="14" spans="1:7" ht="30.6" customHeight="1">
      <c r="A14" s="85" t="s">
        <v>15</v>
      </c>
      <c r="B14" s="85"/>
      <c r="C14" s="84" t="s">
        <v>48</v>
      </c>
      <c r="D14" s="84"/>
      <c r="E14" s="5"/>
      <c r="F14" s="10"/>
      <c r="G14" s="10"/>
    </row>
    <row r="15" spans="1:7" ht="30.6" hidden="1" customHeight="1">
      <c r="A15" s="85" t="s">
        <v>16</v>
      </c>
      <c r="B15" s="85"/>
      <c r="C15" s="83"/>
      <c r="D15" s="84"/>
      <c r="E15" s="2"/>
      <c r="F15" s="2"/>
      <c r="G15" s="2"/>
    </row>
    <row r="16" spans="1:7" ht="35.450000000000003" customHeight="1">
      <c r="A16" s="2"/>
      <c r="B16" s="2"/>
      <c r="C16" s="2"/>
      <c r="D16" s="2"/>
      <c r="E16" s="2"/>
      <c r="F16" s="2"/>
      <c r="G16" s="2"/>
    </row>
    <row r="17" spans="1:11" s="49" customFormat="1" ht="27.6" customHeight="1">
      <c r="A17" s="92" t="s">
        <v>36</v>
      </c>
      <c r="B17" s="92"/>
      <c r="C17" s="92"/>
      <c r="D17" s="92"/>
      <c r="E17" s="92"/>
      <c r="F17" s="92"/>
    </row>
    <row r="18" spans="1:11" s="49" customFormat="1" ht="27.6" customHeight="1">
      <c r="A18" s="92" t="s">
        <v>32</v>
      </c>
      <c r="B18" s="92"/>
      <c r="C18" s="92"/>
      <c r="D18" s="92"/>
      <c r="E18" s="92"/>
      <c r="F18" s="92"/>
    </row>
    <row r="19" spans="1:11" s="49" customFormat="1" ht="32.450000000000003" customHeight="1" thickBot="1">
      <c r="A19" s="92" t="s">
        <v>29</v>
      </c>
      <c r="B19" s="92"/>
      <c r="C19" s="92"/>
    </row>
    <row r="20" spans="1:11" ht="31.9" customHeight="1" thickBot="1">
      <c r="A20" s="36" t="s">
        <v>31</v>
      </c>
      <c r="B20" s="37"/>
      <c r="C20" s="37"/>
      <c r="D20" s="72">
        <v>2850</v>
      </c>
      <c r="E20" s="2"/>
      <c r="F20" s="2"/>
      <c r="G20" s="2"/>
    </row>
    <row r="21" spans="1:11" ht="37.5" customHeight="1" thickBot="1">
      <c r="A21" s="31" t="s">
        <v>4</v>
      </c>
      <c r="B21" s="73" t="s">
        <v>5</v>
      </c>
      <c r="C21" s="74"/>
      <c r="D21" s="29" t="s">
        <v>6</v>
      </c>
      <c r="E21" s="29" t="s">
        <v>39</v>
      </c>
      <c r="F21" s="29" t="s">
        <v>7</v>
      </c>
      <c r="G21" s="30" t="s">
        <v>8</v>
      </c>
    </row>
    <row r="22" spans="1:11" ht="69.75" customHeight="1" thickBot="1">
      <c r="A22" s="56">
        <v>1</v>
      </c>
      <c r="B22" s="75" t="s">
        <v>52</v>
      </c>
      <c r="C22" s="75"/>
      <c r="D22" s="57" t="s">
        <v>20</v>
      </c>
      <c r="E22" s="58">
        <f>'Packing List'!F17</f>
        <v>90</v>
      </c>
      <c r="F22" s="65">
        <f>D20-100</f>
        <v>2750</v>
      </c>
      <c r="G22" s="59">
        <f>E22*F22</f>
        <v>247500</v>
      </c>
      <c r="H22" s="11"/>
      <c r="J22" s="26"/>
      <c r="K22" s="22"/>
    </row>
    <row r="23" spans="1:11" ht="34.5" customHeight="1" thickBot="1">
      <c r="A23" s="77" t="s">
        <v>38</v>
      </c>
      <c r="B23" s="78"/>
      <c r="C23" s="78"/>
      <c r="D23" s="78"/>
      <c r="E23" s="78"/>
      <c r="F23" s="79"/>
      <c r="G23" s="60">
        <f>SUM(G22:G22)</f>
        <v>247500</v>
      </c>
      <c r="I23" s="11"/>
    </row>
    <row r="24" spans="1:11" ht="34.5" customHeight="1" thickBot="1">
      <c r="A24" s="80" t="s">
        <v>13</v>
      </c>
      <c r="B24" s="81"/>
      <c r="C24" s="81"/>
      <c r="D24" s="81"/>
      <c r="E24" s="81"/>
      <c r="F24" s="82"/>
      <c r="G24" s="61">
        <f>E22*100</f>
        <v>9000</v>
      </c>
      <c r="I24" s="27"/>
    </row>
    <row r="25" spans="1:11" ht="34.5" customHeight="1" thickBot="1">
      <c r="A25" s="77" t="s">
        <v>37</v>
      </c>
      <c r="B25" s="78"/>
      <c r="C25" s="78"/>
      <c r="D25" s="78"/>
      <c r="E25" s="78"/>
      <c r="F25" s="79"/>
      <c r="G25" s="60">
        <f>ROUND(G23+G24,2)</f>
        <v>256500</v>
      </c>
    </row>
    <row r="26" spans="1:11" ht="44.25" customHeight="1">
      <c r="A26" s="96" t="str">
        <f>UPPER(tafket(G25,"USD"," CENT "))</f>
        <v xml:space="preserve"> SAY : TWO HUNDRED  FIFTY SIX THOUSAND FIVE HUNDRED  USD ONLY </v>
      </c>
      <c r="B26" s="96"/>
      <c r="C26" s="96"/>
      <c r="D26" s="96"/>
      <c r="E26" s="96"/>
      <c r="F26" s="96"/>
      <c r="G26" s="12"/>
      <c r="H26" s="15"/>
    </row>
    <row r="27" spans="1:11" ht="19.5" customHeight="1">
      <c r="A27" s="10"/>
      <c r="B27" s="10"/>
      <c r="C27" s="10"/>
      <c r="D27" s="10"/>
      <c r="E27" s="10"/>
      <c r="F27" s="21"/>
      <c r="G27" s="12"/>
    </row>
    <row r="28" spans="1:11" s="43" customFormat="1" ht="24" customHeight="1">
      <c r="A28" s="41" t="str">
        <f>"GROSS WEIGHT : "&amp;'Packing List'!E17&amp;" TON"</f>
        <v>GROSS WEIGHT : 105 TON</v>
      </c>
      <c r="B28" s="41"/>
      <c r="C28" s="41"/>
      <c r="D28" s="42"/>
      <c r="E28" s="42"/>
      <c r="G28" s="44"/>
    </row>
    <row r="29" spans="1:11" s="43" customFormat="1" ht="24" customHeight="1">
      <c r="A29" s="41" t="str">
        <f>"NET WEIGHT : "&amp;'Packing List'!F17&amp;" TON"</f>
        <v>NET WEIGHT : 90 TON</v>
      </c>
      <c r="B29" s="41"/>
      <c r="C29" s="41"/>
      <c r="D29" s="42"/>
      <c r="E29" s="42"/>
      <c r="G29" s="44"/>
    </row>
    <row r="30" spans="1:11" s="43" customFormat="1" ht="24" customHeight="1">
      <c r="A30" s="41" t="str">
        <f>"CARTON : "&amp;'Packing List'!D17</f>
        <v>CARTON : 7500</v>
      </c>
      <c r="B30" s="41"/>
      <c r="C30" s="41"/>
      <c r="D30" s="42"/>
      <c r="E30" s="42"/>
      <c r="F30" s="41"/>
      <c r="G30" s="44"/>
    </row>
    <row r="31" spans="1:11" s="43" customFormat="1" ht="9.75" customHeight="1">
      <c r="A31" s="41"/>
      <c r="B31" s="41"/>
      <c r="C31" s="41"/>
      <c r="D31" s="42"/>
      <c r="E31" s="42"/>
      <c r="F31" s="41"/>
      <c r="G31" s="44"/>
    </row>
    <row r="32" spans="1:11" s="43" customFormat="1" ht="24" customHeight="1">
      <c r="A32" s="41" t="s">
        <v>33</v>
      </c>
      <c r="B32" s="41"/>
      <c r="C32" s="41"/>
      <c r="D32" s="42"/>
      <c r="E32" s="42"/>
      <c r="F32" s="41"/>
      <c r="G32" s="44"/>
    </row>
    <row r="33" spans="1:7" s="43" customFormat="1" ht="24" customHeight="1">
      <c r="A33" s="41" t="s">
        <v>17</v>
      </c>
      <c r="B33" s="42"/>
      <c r="C33" s="42"/>
      <c r="D33" s="42"/>
      <c r="E33" s="42"/>
      <c r="F33" s="41"/>
      <c r="G33" s="44"/>
    </row>
    <row r="34" spans="1:7" s="43" customFormat="1" ht="24" customHeight="1">
      <c r="A34" s="41" t="s">
        <v>18</v>
      </c>
      <c r="B34" s="41"/>
      <c r="C34" s="41"/>
      <c r="E34" s="45"/>
      <c r="F34" s="41"/>
      <c r="G34" s="44"/>
    </row>
    <row r="35" spans="1:7" s="43" customFormat="1" ht="24" customHeight="1">
      <c r="A35" s="41" t="s">
        <v>14</v>
      </c>
      <c r="B35" s="41"/>
    </row>
    <row r="36" spans="1:7" s="43" customFormat="1" ht="12" customHeight="1">
      <c r="A36" s="41"/>
      <c r="B36" s="41"/>
    </row>
    <row r="37" spans="1:7" s="43" customFormat="1" ht="24" customHeight="1">
      <c r="A37" s="41" t="s">
        <v>49</v>
      </c>
      <c r="B37" s="41"/>
    </row>
    <row r="38" spans="1:7" s="43" customFormat="1" ht="3.75" customHeight="1">
      <c r="A38" s="41"/>
      <c r="B38" s="41"/>
    </row>
    <row r="39" spans="1:7" s="43" customFormat="1" ht="24" customHeight="1">
      <c r="A39" s="53" t="s">
        <v>34</v>
      </c>
      <c r="B39" s="53"/>
    </row>
    <row r="40" spans="1:7" s="43" customFormat="1" ht="24" customHeight="1">
      <c r="A40" s="41" t="s">
        <v>23</v>
      </c>
      <c r="B40" s="41"/>
      <c r="E40" s="41"/>
      <c r="G40" s="41"/>
    </row>
    <row r="41" spans="1:7" s="43" customFormat="1" ht="24" customHeight="1">
      <c r="A41" s="41" t="s">
        <v>24</v>
      </c>
      <c r="B41" s="41"/>
    </row>
    <row r="42" spans="1:7" s="43" customFormat="1" ht="24" customHeight="1">
      <c r="A42" s="41" t="s">
        <v>25</v>
      </c>
      <c r="B42" s="41"/>
    </row>
    <row r="43" spans="1:7" s="43" customFormat="1" ht="24" customHeight="1">
      <c r="A43" s="41" t="s">
        <v>26</v>
      </c>
      <c r="B43" s="41"/>
    </row>
    <row r="44" spans="1:7" s="43" customFormat="1" ht="24" customHeight="1">
      <c r="A44" s="41" t="s">
        <v>19</v>
      </c>
      <c r="B44" s="41"/>
    </row>
    <row r="45" spans="1:7" s="43" customFormat="1" ht="24" customHeight="1">
      <c r="A45" s="41"/>
      <c r="B45" s="41"/>
    </row>
    <row r="46" spans="1:7" s="43" customFormat="1" ht="24" customHeight="1">
      <c r="A46" s="41" t="s">
        <v>35</v>
      </c>
      <c r="B46" s="41"/>
    </row>
    <row r="47" spans="1:7" ht="21.75" customHeight="1">
      <c r="A47" s="2"/>
      <c r="B47" s="2"/>
      <c r="C47" s="8"/>
      <c r="D47" s="2"/>
      <c r="E47" s="2"/>
      <c r="F47" s="2"/>
      <c r="G47" s="2"/>
    </row>
    <row r="49" spans="1:7" ht="29.25" customHeight="1">
      <c r="A49" s="76"/>
      <c r="B49" s="76"/>
      <c r="C49" s="76"/>
      <c r="D49" s="76"/>
      <c r="E49" s="76"/>
      <c r="F49" s="76"/>
      <c r="G49" s="76"/>
    </row>
    <row r="50" spans="1:7" ht="29.25" customHeight="1">
      <c r="A50" s="76"/>
      <c r="B50" s="76"/>
      <c r="C50" s="76"/>
      <c r="D50" s="76"/>
      <c r="E50" s="76"/>
      <c r="F50" s="76"/>
      <c r="G50" s="76"/>
    </row>
    <row r="51" spans="1:7" ht="29.25" customHeight="1">
      <c r="A51" s="76"/>
      <c r="B51" s="76"/>
      <c r="C51" s="76"/>
      <c r="D51" s="76"/>
      <c r="E51" s="76"/>
      <c r="F51" s="76"/>
      <c r="G51" s="76"/>
    </row>
    <row r="56" spans="1:7">
      <c r="G56" s="9"/>
    </row>
    <row r="57" spans="1:7">
      <c r="F57" s="9"/>
    </row>
  </sheetData>
  <mergeCells count="28">
    <mergeCell ref="A17:C17"/>
    <mergeCell ref="D17:F17"/>
    <mergeCell ref="A18:C18"/>
    <mergeCell ref="D18:F18"/>
    <mergeCell ref="A19:C19"/>
    <mergeCell ref="C15:D15"/>
    <mergeCell ref="A15:B15"/>
    <mergeCell ref="C13:D13"/>
    <mergeCell ref="A13:B13"/>
    <mergeCell ref="A3:G4"/>
    <mergeCell ref="A6:G6"/>
    <mergeCell ref="A7:G7"/>
    <mergeCell ref="A9:G9"/>
    <mergeCell ref="A11:B11"/>
    <mergeCell ref="C11:D11"/>
    <mergeCell ref="A12:B12"/>
    <mergeCell ref="C12:D12"/>
    <mergeCell ref="C14:D14"/>
    <mergeCell ref="A14:B14"/>
    <mergeCell ref="B21:C21"/>
    <mergeCell ref="B22:C22"/>
    <mergeCell ref="A51:G51"/>
    <mergeCell ref="A23:F23"/>
    <mergeCell ref="A24:F24"/>
    <mergeCell ref="A25:F25"/>
    <mergeCell ref="A50:G50"/>
    <mergeCell ref="A49:G49"/>
    <mergeCell ref="A26:F26"/>
  </mergeCells>
  <printOptions horizontalCentered="1"/>
  <pageMargins left="0" right="0" top="0" bottom="0" header="0" footer="0"/>
  <pageSetup paperSize="9" scale="61" orientation="portrait" r:id="rId1"/>
  <headerFooter>
    <oddFooter>&amp;Rpo 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29"/>
  <sheetViews>
    <sheetView showGridLines="0" view="pageBreakPreview" topLeftCell="A14" zoomScale="85" zoomScaleNormal="85" zoomScaleSheetLayoutView="85" workbookViewId="0">
      <selection activeCell="A22" sqref="A22:C22"/>
    </sheetView>
  </sheetViews>
  <sheetFormatPr defaultRowHeight="15"/>
  <cols>
    <col min="1" max="1" width="23.28515625" style="1" customWidth="1"/>
    <col min="2" max="2" width="1.7109375" style="1" hidden="1" customWidth="1"/>
    <col min="3" max="3" width="46.28515625" style="1" customWidth="1"/>
    <col min="4" max="4" width="16.85546875" style="1" customWidth="1"/>
    <col min="5" max="5" width="17" style="1" customWidth="1"/>
    <col min="6" max="6" width="17.28515625" style="1" customWidth="1"/>
    <col min="7" max="7" width="12.85546875" style="1" bestFit="1" customWidth="1"/>
    <col min="8" max="8" width="13.5703125" style="1" bestFit="1" customWidth="1"/>
    <col min="9" max="9" width="13.140625" style="1" customWidth="1"/>
    <col min="10" max="10" width="11" style="1"/>
    <col min="11" max="11" width="12.85546875" style="1" bestFit="1" customWidth="1"/>
    <col min="12" max="238" width="11" style="1"/>
    <col min="239" max="239" width="3.85546875" style="1" customWidth="1"/>
    <col min="240" max="240" width="11.85546875" style="1" customWidth="1"/>
    <col min="241" max="241" width="40.7109375" style="1" customWidth="1"/>
    <col min="242" max="242" width="10.140625" style="1" customWidth="1"/>
    <col min="243" max="243" width="8.85546875" style="1" customWidth="1"/>
    <col min="244" max="244" width="13.28515625" style="1" customWidth="1"/>
    <col min="245" max="245" width="14.85546875" style="1" customWidth="1"/>
    <col min="246" max="246" width="11" style="1"/>
    <col min="247" max="247" width="22.85546875" style="1" customWidth="1"/>
    <col min="248" max="248" width="17" style="1" customWidth="1"/>
    <col min="249" max="494" width="11" style="1"/>
    <col min="495" max="495" width="3.85546875" style="1" customWidth="1"/>
    <col min="496" max="496" width="11.85546875" style="1" customWidth="1"/>
    <col min="497" max="497" width="40.7109375" style="1" customWidth="1"/>
    <col min="498" max="498" width="10.140625" style="1" customWidth="1"/>
    <col min="499" max="499" width="8.85546875" style="1" customWidth="1"/>
    <col min="500" max="500" width="13.28515625" style="1" customWidth="1"/>
    <col min="501" max="501" width="14.85546875" style="1" customWidth="1"/>
    <col min="502" max="502" width="11" style="1"/>
    <col min="503" max="503" width="22.85546875" style="1" customWidth="1"/>
    <col min="504" max="504" width="17" style="1" customWidth="1"/>
    <col min="505" max="750" width="11" style="1"/>
    <col min="751" max="751" width="3.85546875" style="1" customWidth="1"/>
    <col min="752" max="752" width="11.85546875" style="1" customWidth="1"/>
    <col min="753" max="753" width="40.7109375" style="1" customWidth="1"/>
    <col min="754" max="754" width="10.140625" style="1" customWidth="1"/>
    <col min="755" max="755" width="8.85546875" style="1" customWidth="1"/>
    <col min="756" max="756" width="13.28515625" style="1" customWidth="1"/>
    <col min="757" max="757" width="14.85546875" style="1" customWidth="1"/>
    <col min="758" max="758" width="11" style="1"/>
    <col min="759" max="759" width="22.85546875" style="1" customWidth="1"/>
    <col min="760" max="760" width="17" style="1" customWidth="1"/>
    <col min="761" max="1006" width="11" style="1"/>
    <col min="1007" max="1007" width="3.85546875" style="1" customWidth="1"/>
    <col min="1008" max="1008" width="11.85546875" style="1" customWidth="1"/>
    <col min="1009" max="1009" width="40.7109375" style="1" customWidth="1"/>
    <col min="1010" max="1010" width="10.140625" style="1" customWidth="1"/>
    <col min="1011" max="1011" width="8.85546875" style="1" customWidth="1"/>
    <col min="1012" max="1012" width="13.28515625" style="1" customWidth="1"/>
    <col min="1013" max="1013" width="14.85546875" style="1" customWidth="1"/>
    <col min="1014" max="1014" width="11" style="1"/>
    <col min="1015" max="1015" width="22.85546875" style="1" customWidth="1"/>
    <col min="1016" max="1016" width="17" style="1" customWidth="1"/>
    <col min="1017" max="1262" width="9.140625" style="1"/>
    <col min="1263" max="1263" width="3.85546875" style="1" customWidth="1"/>
    <col min="1264" max="1264" width="11.85546875" style="1" customWidth="1"/>
    <col min="1265" max="1265" width="40.7109375" style="1" customWidth="1"/>
    <col min="1266" max="1266" width="10.140625" style="1" customWidth="1"/>
    <col min="1267" max="1267" width="8.85546875" style="1" customWidth="1"/>
    <col min="1268" max="1268" width="13.28515625" style="1" customWidth="1"/>
    <col min="1269" max="1269" width="14.85546875" style="1" customWidth="1"/>
    <col min="1270" max="1270" width="11" style="1"/>
    <col min="1271" max="1271" width="22.85546875" style="1" customWidth="1"/>
    <col min="1272" max="1272" width="17" style="1" customWidth="1"/>
    <col min="1273" max="1518" width="11" style="1"/>
    <col min="1519" max="1519" width="3.85546875" style="1" customWidth="1"/>
    <col min="1520" max="1520" width="11.85546875" style="1" customWidth="1"/>
    <col min="1521" max="1521" width="40.7109375" style="1" customWidth="1"/>
    <col min="1522" max="1522" width="10.140625" style="1" customWidth="1"/>
    <col min="1523" max="1523" width="8.85546875" style="1" customWidth="1"/>
    <col min="1524" max="1524" width="13.28515625" style="1" customWidth="1"/>
    <col min="1525" max="1525" width="14.85546875" style="1" customWidth="1"/>
    <col min="1526" max="1526" width="11" style="1"/>
    <col min="1527" max="1527" width="22.85546875" style="1" customWidth="1"/>
    <col min="1528" max="1528" width="17" style="1" customWidth="1"/>
    <col min="1529" max="1774" width="11" style="1"/>
    <col min="1775" max="1775" width="3.85546875" style="1" customWidth="1"/>
    <col min="1776" max="1776" width="11.85546875" style="1" customWidth="1"/>
    <col min="1777" max="1777" width="40.7109375" style="1" customWidth="1"/>
    <col min="1778" max="1778" width="10.140625" style="1" customWidth="1"/>
    <col min="1779" max="1779" width="8.85546875" style="1" customWidth="1"/>
    <col min="1780" max="1780" width="13.28515625" style="1" customWidth="1"/>
    <col min="1781" max="1781" width="14.85546875" style="1" customWidth="1"/>
    <col min="1782" max="1782" width="11" style="1"/>
    <col min="1783" max="1783" width="22.85546875" style="1" customWidth="1"/>
    <col min="1784" max="1784" width="17" style="1" customWidth="1"/>
    <col min="1785" max="2030" width="11" style="1"/>
    <col min="2031" max="2031" width="3.85546875" style="1" customWidth="1"/>
    <col min="2032" max="2032" width="11.85546875" style="1" customWidth="1"/>
    <col min="2033" max="2033" width="40.7109375" style="1" customWidth="1"/>
    <col min="2034" max="2034" width="10.140625" style="1" customWidth="1"/>
    <col min="2035" max="2035" width="8.85546875" style="1" customWidth="1"/>
    <col min="2036" max="2036" width="13.28515625" style="1" customWidth="1"/>
    <col min="2037" max="2037" width="14.85546875" style="1" customWidth="1"/>
    <col min="2038" max="2038" width="11" style="1"/>
    <col min="2039" max="2039" width="22.85546875" style="1" customWidth="1"/>
    <col min="2040" max="2040" width="17" style="1" customWidth="1"/>
    <col min="2041" max="2286" width="9.140625" style="1"/>
    <col min="2287" max="2287" width="3.85546875" style="1" customWidth="1"/>
    <col min="2288" max="2288" width="11.85546875" style="1" customWidth="1"/>
    <col min="2289" max="2289" width="40.7109375" style="1" customWidth="1"/>
    <col min="2290" max="2290" width="10.140625" style="1" customWidth="1"/>
    <col min="2291" max="2291" width="8.85546875" style="1" customWidth="1"/>
    <col min="2292" max="2292" width="13.28515625" style="1" customWidth="1"/>
    <col min="2293" max="2293" width="14.85546875" style="1" customWidth="1"/>
    <col min="2294" max="2294" width="11" style="1"/>
    <col min="2295" max="2295" width="22.85546875" style="1" customWidth="1"/>
    <col min="2296" max="2296" width="17" style="1" customWidth="1"/>
    <col min="2297" max="2542" width="11" style="1"/>
    <col min="2543" max="2543" width="3.85546875" style="1" customWidth="1"/>
    <col min="2544" max="2544" width="11.85546875" style="1" customWidth="1"/>
    <col min="2545" max="2545" width="40.7109375" style="1" customWidth="1"/>
    <col min="2546" max="2546" width="10.140625" style="1" customWidth="1"/>
    <col min="2547" max="2547" width="8.85546875" style="1" customWidth="1"/>
    <col min="2548" max="2548" width="13.28515625" style="1" customWidth="1"/>
    <col min="2549" max="2549" width="14.85546875" style="1" customWidth="1"/>
    <col min="2550" max="2550" width="11" style="1"/>
    <col min="2551" max="2551" width="22.85546875" style="1" customWidth="1"/>
    <col min="2552" max="2552" width="17" style="1" customWidth="1"/>
    <col min="2553" max="2798" width="11" style="1"/>
    <col min="2799" max="2799" width="3.85546875" style="1" customWidth="1"/>
    <col min="2800" max="2800" width="11.85546875" style="1" customWidth="1"/>
    <col min="2801" max="2801" width="40.7109375" style="1" customWidth="1"/>
    <col min="2802" max="2802" width="10.140625" style="1" customWidth="1"/>
    <col min="2803" max="2803" width="8.85546875" style="1" customWidth="1"/>
    <col min="2804" max="2804" width="13.28515625" style="1" customWidth="1"/>
    <col min="2805" max="2805" width="14.85546875" style="1" customWidth="1"/>
    <col min="2806" max="2806" width="11" style="1"/>
    <col min="2807" max="2807" width="22.85546875" style="1" customWidth="1"/>
    <col min="2808" max="2808" width="17" style="1" customWidth="1"/>
    <col min="2809" max="3054" width="11" style="1"/>
    <col min="3055" max="3055" width="3.85546875" style="1" customWidth="1"/>
    <col min="3056" max="3056" width="11.85546875" style="1" customWidth="1"/>
    <col min="3057" max="3057" width="40.7109375" style="1" customWidth="1"/>
    <col min="3058" max="3058" width="10.140625" style="1" customWidth="1"/>
    <col min="3059" max="3059" width="8.85546875" style="1" customWidth="1"/>
    <col min="3060" max="3060" width="13.28515625" style="1" customWidth="1"/>
    <col min="3061" max="3061" width="14.85546875" style="1" customWidth="1"/>
    <col min="3062" max="3062" width="11" style="1"/>
    <col min="3063" max="3063" width="22.85546875" style="1" customWidth="1"/>
    <col min="3064" max="3064" width="17" style="1" customWidth="1"/>
    <col min="3065" max="3310" width="9.140625" style="1"/>
    <col min="3311" max="3311" width="3.85546875" style="1" customWidth="1"/>
    <col min="3312" max="3312" width="11.85546875" style="1" customWidth="1"/>
    <col min="3313" max="3313" width="40.7109375" style="1" customWidth="1"/>
    <col min="3314" max="3314" width="10.140625" style="1" customWidth="1"/>
    <col min="3315" max="3315" width="8.85546875" style="1" customWidth="1"/>
    <col min="3316" max="3316" width="13.28515625" style="1" customWidth="1"/>
    <col min="3317" max="3317" width="14.85546875" style="1" customWidth="1"/>
    <col min="3318" max="3318" width="11" style="1"/>
    <col min="3319" max="3319" width="22.85546875" style="1" customWidth="1"/>
    <col min="3320" max="3320" width="17" style="1" customWidth="1"/>
    <col min="3321" max="3566" width="11" style="1"/>
    <col min="3567" max="3567" width="3.85546875" style="1" customWidth="1"/>
    <col min="3568" max="3568" width="11.85546875" style="1" customWidth="1"/>
    <col min="3569" max="3569" width="40.7109375" style="1" customWidth="1"/>
    <col min="3570" max="3570" width="10.140625" style="1" customWidth="1"/>
    <col min="3571" max="3571" width="8.85546875" style="1" customWidth="1"/>
    <col min="3572" max="3572" width="13.28515625" style="1" customWidth="1"/>
    <col min="3573" max="3573" width="14.85546875" style="1" customWidth="1"/>
    <col min="3574" max="3574" width="11" style="1"/>
    <col min="3575" max="3575" width="22.85546875" style="1" customWidth="1"/>
    <col min="3576" max="3576" width="17" style="1" customWidth="1"/>
    <col min="3577" max="3822" width="11" style="1"/>
    <col min="3823" max="3823" width="3.85546875" style="1" customWidth="1"/>
    <col min="3824" max="3824" width="11.85546875" style="1" customWidth="1"/>
    <col min="3825" max="3825" width="40.7109375" style="1" customWidth="1"/>
    <col min="3826" max="3826" width="10.140625" style="1" customWidth="1"/>
    <col min="3827" max="3827" width="8.85546875" style="1" customWidth="1"/>
    <col min="3828" max="3828" width="13.28515625" style="1" customWidth="1"/>
    <col min="3829" max="3829" width="14.85546875" style="1" customWidth="1"/>
    <col min="3830" max="3830" width="11" style="1"/>
    <col min="3831" max="3831" width="22.85546875" style="1" customWidth="1"/>
    <col min="3832" max="3832" width="17" style="1" customWidth="1"/>
    <col min="3833" max="4078" width="11" style="1"/>
    <col min="4079" max="4079" width="3.85546875" style="1" customWidth="1"/>
    <col min="4080" max="4080" width="11.85546875" style="1" customWidth="1"/>
    <col min="4081" max="4081" width="40.7109375" style="1" customWidth="1"/>
    <col min="4082" max="4082" width="10.140625" style="1" customWidth="1"/>
    <col min="4083" max="4083" width="8.85546875" style="1" customWidth="1"/>
    <col min="4084" max="4084" width="13.28515625" style="1" customWidth="1"/>
    <col min="4085" max="4085" width="14.85546875" style="1" customWidth="1"/>
    <col min="4086" max="4086" width="11" style="1"/>
    <col min="4087" max="4087" width="22.85546875" style="1" customWidth="1"/>
    <col min="4088" max="4088" width="17" style="1" customWidth="1"/>
    <col min="4089" max="4334" width="9.140625" style="1"/>
    <col min="4335" max="4335" width="3.85546875" style="1" customWidth="1"/>
    <col min="4336" max="4336" width="11.85546875" style="1" customWidth="1"/>
    <col min="4337" max="4337" width="40.7109375" style="1" customWidth="1"/>
    <col min="4338" max="4338" width="10.140625" style="1" customWidth="1"/>
    <col min="4339" max="4339" width="8.85546875" style="1" customWidth="1"/>
    <col min="4340" max="4340" width="13.28515625" style="1" customWidth="1"/>
    <col min="4341" max="4341" width="14.85546875" style="1" customWidth="1"/>
    <col min="4342" max="4342" width="11" style="1"/>
    <col min="4343" max="4343" width="22.85546875" style="1" customWidth="1"/>
    <col min="4344" max="4344" width="17" style="1" customWidth="1"/>
    <col min="4345" max="4590" width="11" style="1"/>
    <col min="4591" max="4591" width="3.85546875" style="1" customWidth="1"/>
    <col min="4592" max="4592" width="11.85546875" style="1" customWidth="1"/>
    <col min="4593" max="4593" width="40.7109375" style="1" customWidth="1"/>
    <col min="4594" max="4594" width="10.140625" style="1" customWidth="1"/>
    <col min="4595" max="4595" width="8.85546875" style="1" customWidth="1"/>
    <col min="4596" max="4596" width="13.28515625" style="1" customWidth="1"/>
    <col min="4597" max="4597" width="14.85546875" style="1" customWidth="1"/>
    <col min="4598" max="4598" width="11" style="1"/>
    <col min="4599" max="4599" width="22.85546875" style="1" customWidth="1"/>
    <col min="4600" max="4600" width="17" style="1" customWidth="1"/>
    <col min="4601" max="4846" width="11" style="1"/>
    <col min="4847" max="4847" width="3.85546875" style="1" customWidth="1"/>
    <col min="4848" max="4848" width="11.85546875" style="1" customWidth="1"/>
    <col min="4849" max="4849" width="40.7109375" style="1" customWidth="1"/>
    <col min="4850" max="4850" width="10.140625" style="1" customWidth="1"/>
    <col min="4851" max="4851" width="8.85546875" style="1" customWidth="1"/>
    <col min="4852" max="4852" width="13.28515625" style="1" customWidth="1"/>
    <col min="4853" max="4853" width="14.85546875" style="1" customWidth="1"/>
    <col min="4854" max="4854" width="11" style="1"/>
    <col min="4855" max="4855" width="22.85546875" style="1" customWidth="1"/>
    <col min="4856" max="4856" width="17" style="1" customWidth="1"/>
    <col min="4857" max="5102" width="11" style="1"/>
    <col min="5103" max="5103" width="3.85546875" style="1" customWidth="1"/>
    <col min="5104" max="5104" width="11.85546875" style="1" customWidth="1"/>
    <col min="5105" max="5105" width="40.7109375" style="1" customWidth="1"/>
    <col min="5106" max="5106" width="10.140625" style="1" customWidth="1"/>
    <col min="5107" max="5107" width="8.85546875" style="1" customWidth="1"/>
    <col min="5108" max="5108" width="13.28515625" style="1" customWidth="1"/>
    <col min="5109" max="5109" width="14.85546875" style="1" customWidth="1"/>
    <col min="5110" max="5110" width="11" style="1"/>
    <col min="5111" max="5111" width="22.85546875" style="1" customWidth="1"/>
    <col min="5112" max="5112" width="17" style="1" customWidth="1"/>
    <col min="5113" max="5358" width="9.140625" style="1"/>
    <col min="5359" max="5359" width="3.85546875" style="1" customWidth="1"/>
    <col min="5360" max="5360" width="11.85546875" style="1" customWidth="1"/>
    <col min="5361" max="5361" width="40.7109375" style="1" customWidth="1"/>
    <col min="5362" max="5362" width="10.140625" style="1" customWidth="1"/>
    <col min="5363" max="5363" width="8.85546875" style="1" customWidth="1"/>
    <col min="5364" max="5364" width="13.28515625" style="1" customWidth="1"/>
    <col min="5365" max="5365" width="14.85546875" style="1" customWidth="1"/>
    <col min="5366" max="5366" width="11" style="1"/>
    <col min="5367" max="5367" width="22.85546875" style="1" customWidth="1"/>
    <col min="5368" max="5368" width="17" style="1" customWidth="1"/>
    <col min="5369" max="5614" width="11" style="1"/>
    <col min="5615" max="5615" width="3.85546875" style="1" customWidth="1"/>
    <col min="5616" max="5616" width="11.85546875" style="1" customWidth="1"/>
    <col min="5617" max="5617" width="40.7109375" style="1" customWidth="1"/>
    <col min="5618" max="5618" width="10.140625" style="1" customWidth="1"/>
    <col min="5619" max="5619" width="8.85546875" style="1" customWidth="1"/>
    <col min="5620" max="5620" width="13.28515625" style="1" customWidth="1"/>
    <col min="5621" max="5621" width="14.85546875" style="1" customWidth="1"/>
    <col min="5622" max="5622" width="11" style="1"/>
    <col min="5623" max="5623" width="22.85546875" style="1" customWidth="1"/>
    <col min="5624" max="5624" width="17" style="1" customWidth="1"/>
    <col min="5625" max="5870" width="11" style="1"/>
    <col min="5871" max="5871" width="3.85546875" style="1" customWidth="1"/>
    <col min="5872" max="5872" width="11.85546875" style="1" customWidth="1"/>
    <col min="5873" max="5873" width="40.7109375" style="1" customWidth="1"/>
    <col min="5874" max="5874" width="10.140625" style="1" customWidth="1"/>
    <col min="5875" max="5875" width="8.85546875" style="1" customWidth="1"/>
    <col min="5876" max="5876" width="13.28515625" style="1" customWidth="1"/>
    <col min="5877" max="5877" width="14.85546875" style="1" customWidth="1"/>
    <col min="5878" max="5878" width="11" style="1"/>
    <col min="5879" max="5879" width="22.85546875" style="1" customWidth="1"/>
    <col min="5880" max="5880" width="17" style="1" customWidth="1"/>
    <col min="5881" max="6126" width="11" style="1"/>
    <col min="6127" max="6127" width="3.85546875" style="1" customWidth="1"/>
    <col min="6128" max="6128" width="11.85546875" style="1" customWidth="1"/>
    <col min="6129" max="6129" width="40.7109375" style="1" customWidth="1"/>
    <col min="6130" max="6130" width="10.140625" style="1" customWidth="1"/>
    <col min="6131" max="6131" width="8.85546875" style="1" customWidth="1"/>
    <col min="6132" max="6132" width="13.28515625" style="1" customWidth="1"/>
    <col min="6133" max="6133" width="14.85546875" style="1" customWidth="1"/>
    <col min="6134" max="6134" width="11" style="1"/>
    <col min="6135" max="6135" width="22.85546875" style="1" customWidth="1"/>
    <col min="6136" max="6136" width="17" style="1" customWidth="1"/>
    <col min="6137" max="6382" width="9.140625" style="1"/>
    <col min="6383" max="6383" width="3.85546875" style="1" customWidth="1"/>
    <col min="6384" max="6384" width="11.85546875" style="1" customWidth="1"/>
    <col min="6385" max="6385" width="40.7109375" style="1" customWidth="1"/>
    <col min="6386" max="6386" width="10.140625" style="1" customWidth="1"/>
    <col min="6387" max="6387" width="8.85546875" style="1" customWidth="1"/>
    <col min="6388" max="6388" width="13.28515625" style="1" customWidth="1"/>
    <col min="6389" max="6389" width="14.85546875" style="1" customWidth="1"/>
    <col min="6390" max="6390" width="11" style="1"/>
    <col min="6391" max="6391" width="22.85546875" style="1" customWidth="1"/>
    <col min="6392" max="6392" width="17" style="1" customWidth="1"/>
    <col min="6393" max="6638" width="11" style="1"/>
    <col min="6639" max="6639" width="3.85546875" style="1" customWidth="1"/>
    <col min="6640" max="6640" width="11.85546875" style="1" customWidth="1"/>
    <col min="6641" max="6641" width="40.7109375" style="1" customWidth="1"/>
    <col min="6642" max="6642" width="10.140625" style="1" customWidth="1"/>
    <col min="6643" max="6643" width="8.85546875" style="1" customWidth="1"/>
    <col min="6644" max="6644" width="13.28515625" style="1" customWidth="1"/>
    <col min="6645" max="6645" width="14.85546875" style="1" customWidth="1"/>
    <col min="6646" max="6646" width="11" style="1"/>
    <col min="6647" max="6647" width="22.85546875" style="1" customWidth="1"/>
    <col min="6648" max="6648" width="17" style="1" customWidth="1"/>
    <col min="6649" max="6894" width="11" style="1"/>
    <col min="6895" max="6895" width="3.85546875" style="1" customWidth="1"/>
    <col min="6896" max="6896" width="11.85546875" style="1" customWidth="1"/>
    <col min="6897" max="6897" width="40.7109375" style="1" customWidth="1"/>
    <col min="6898" max="6898" width="10.140625" style="1" customWidth="1"/>
    <col min="6899" max="6899" width="8.85546875" style="1" customWidth="1"/>
    <col min="6900" max="6900" width="13.28515625" style="1" customWidth="1"/>
    <col min="6901" max="6901" width="14.85546875" style="1" customWidth="1"/>
    <col min="6902" max="6902" width="11" style="1"/>
    <col min="6903" max="6903" width="22.85546875" style="1" customWidth="1"/>
    <col min="6904" max="6904" width="17" style="1" customWidth="1"/>
    <col min="6905" max="7150" width="11" style="1"/>
    <col min="7151" max="7151" width="3.85546875" style="1" customWidth="1"/>
    <col min="7152" max="7152" width="11.85546875" style="1" customWidth="1"/>
    <col min="7153" max="7153" width="40.7109375" style="1" customWidth="1"/>
    <col min="7154" max="7154" width="10.140625" style="1" customWidth="1"/>
    <col min="7155" max="7155" width="8.85546875" style="1" customWidth="1"/>
    <col min="7156" max="7156" width="13.28515625" style="1" customWidth="1"/>
    <col min="7157" max="7157" width="14.85546875" style="1" customWidth="1"/>
    <col min="7158" max="7158" width="11" style="1"/>
    <col min="7159" max="7159" width="22.85546875" style="1" customWidth="1"/>
    <col min="7160" max="7160" width="17" style="1" customWidth="1"/>
    <col min="7161" max="7406" width="9.140625" style="1"/>
    <col min="7407" max="7407" width="3.85546875" style="1" customWidth="1"/>
    <col min="7408" max="7408" width="11.85546875" style="1" customWidth="1"/>
    <col min="7409" max="7409" width="40.7109375" style="1" customWidth="1"/>
    <col min="7410" max="7410" width="10.140625" style="1" customWidth="1"/>
    <col min="7411" max="7411" width="8.85546875" style="1" customWidth="1"/>
    <col min="7412" max="7412" width="13.28515625" style="1" customWidth="1"/>
    <col min="7413" max="7413" width="14.85546875" style="1" customWidth="1"/>
    <col min="7414" max="7414" width="11" style="1"/>
    <col min="7415" max="7415" width="22.85546875" style="1" customWidth="1"/>
    <col min="7416" max="7416" width="17" style="1" customWidth="1"/>
    <col min="7417" max="7662" width="11" style="1"/>
    <col min="7663" max="7663" width="3.85546875" style="1" customWidth="1"/>
    <col min="7664" max="7664" width="11.85546875" style="1" customWidth="1"/>
    <col min="7665" max="7665" width="40.7109375" style="1" customWidth="1"/>
    <col min="7666" max="7666" width="10.140625" style="1" customWidth="1"/>
    <col min="7667" max="7667" width="8.85546875" style="1" customWidth="1"/>
    <col min="7668" max="7668" width="13.28515625" style="1" customWidth="1"/>
    <col min="7669" max="7669" width="14.85546875" style="1" customWidth="1"/>
    <col min="7670" max="7670" width="11" style="1"/>
    <col min="7671" max="7671" width="22.85546875" style="1" customWidth="1"/>
    <col min="7672" max="7672" width="17" style="1" customWidth="1"/>
    <col min="7673" max="7918" width="11" style="1"/>
    <col min="7919" max="7919" width="3.85546875" style="1" customWidth="1"/>
    <col min="7920" max="7920" width="11.85546875" style="1" customWidth="1"/>
    <col min="7921" max="7921" width="40.7109375" style="1" customWidth="1"/>
    <col min="7922" max="7922" width="10.140625" style="1" customWidth="1"/>
    <col min="7923" max="7923" width="8.85546875" style="1" customWidth="1"/>
    <col min="7924" max="7924" width="13.28515625" style="1" customWidth="1"/>
    <col min="7925" max="7925" width="14.85546875" style="1" customWidth="1"/>
    <col min="7926" max="7926" width="11" style="1"/>
    <col min="7927" max="7927" width="22.85546875" style="1" customWidth="1"/>
    <col min="7928" max="7928" width="17" style="1" customWidth="1"/>
    <col min="7929" max="8174" width="11" style="1"/>
    <col min="8175" max="8175" width="3.85546875" style="1" customWidth="1"/>
    <col min="8176" max="8176" width="11.85546875" style="1" customWidth="1"/>
    <col min="8177" max="8177" width="40.7109375" style="1" customWidth="1"/>
    <col min="8178" max="8178" width="10.140625" style="1" customWidth="1"/>
    <col min="8179" max="8179" width="8.85546875" style="1" customWidth="1"/>
    <col min="8180" max="8180" width="13.28515625" style="1" customWidth="1"/>
    <col min="8181" max="8181" width="14.85546875" style="1" customWidth="1"/>
    <col min="8182" max="8182" width="11" style="1"/>
    <col min="8183" max="8183" width="22.85546875" style="1" customWidth="1"/>
    <col min="8184" max="8184" width="17" style="1" customWidth="1"/>
    <col min="8185" max="8430" width="9.140625" style="1"/>
    <col min="8431" max="8431" width="3.85546875" style="1" customWidth="1"/>
    <col min="8432" max="8432" width="11.85546875" style="1" customWidth="1"/>
    <col min="8433" max="8433" width="40.7109375" style="1" customWidth="1"/>
    <col min="8434" max="8434" width="10.140625" style="1" customWidth="1"/>
    <col min="8435" max="8435" width="8.85546875" style="1" customWidth="1"/>
    <col min="8436" max="8436" width="13.28515625" style="1" customWidth="1"/>
    <col min="8437" max="8437" width="14.85546875" style="1" customWidth="1"/>
    <col min="8438" max="8438" width="11" style="1"/>
    <col min="8439" max="8439" width="22.85546875" style="1" customWidth="1"/>
    <col min="8440" max="8440" width="17" style="1" customWidth="1"/>
    <col min="8441" max="8686" width="11" style="1"/>
    <col min="8687" max="8687" width="3.85546875" style="1" customWidth="1"/>
    <col min="8688" max="8688" width="11.85546875" style="1" customWidth="1"/>
    <col min="8689" max="8689" width="40.7109375" style="1" customWidth="1"/>
    <col min="8690" max="8690" width="10.140625" style="1" customWidth="1"/>
    <col min="8691" max="8691" width="8.85546875" style="1" customWidth="1"/>
    <col min="8692" max="8692" width="13.28515625" style="1" customWidth="1"/>
    <col min="8693" max="8693" width="14.85546875" style="1" customWidth="1"/>
    <col min="8694" max="8694" width="11" style="1"/>
    <col min="8695" max="8695" width="22.85546875" style="1" customWidth="1"/>
    <col min="8696" max="8696" width="17" style="1" customWidth="1"/>
    <col min="8697" max="8942" width="11" style="1"/>
    <col min="8943" max="8943" width="3.85546875" style="1" customWidth="1"/>
    <col min="8944" max="8944" width="11.85546875" style="1" customWidth="1"/>
    <col min="8945" max="8945" width="40.7109375" style="1" customWidth="1"/>
    <col min="8946" max="8946" width="10.140625" style="1" customWidth="1"/>
    <col min="8947" max="8947" width="8.85546875" style="1" customWidth="1"/>
    <col min="8948" max="8948" width="13.28515625" style="1" customWidth="1"/>
    <col min="8949" max="8949" width="14.85546875" style="1" customWidth="1"/>
    <col min="8950" max="8950" width="11" style="1"/>
    <col min="8951" max="8951" width="22.85546875" style="1" customWidth="1"/>
    <col min="8952" max="8952" width="17" style="1" customWidth="1"/>
    <col min="8953" max="9198" width="11" style="1"/>
    <col min="9199" max="9199" width="3.85546875" style="1" customWidth="1"/>
    <col min="9200" max="9200" width="11.85546875" style="1" customWidth="1"/>
    <col min="9201" max="9201" width="40.7109375" style="1" customWidth="1"/>
    <col min="9202" max="9202" width="10.140625" style="1" customWidth="1"/>
    <col min="9203" max="9203" width="8.85546875" style="1" customWidth="1"/>
    <col min="9204" max="9204" width="13.28515625" style="1" customWidth="1"/>
    <col min="9205" max="9205" width="14.85546875" style="1" customWidth="1"/>
    <col min="9206" max="9206" width="11" style="1"/>
    <col min="9207" max="9207" width="22.85546875" style="1" customWidth="1"/>
    <col min="9208" max="9208" width="17" style="1" customWidth="1"/>
    <col min="9209" max="9454" width="9.140625" style="1"/>
    <col min="9455" max="9455" width="3.85546875" style="1" customWidth="1"/>
    <col min="9456" max="9456" width="11.85546875" style="1" customWidth="1"/>
    <col min="9457" max="9457" width="40.7109375" style="1" customWidth="1"/>
    <col min="9458" max="9458" width="10.140625" style="1" customWidth="1"/>
    <col min="9459" max="9459" width="8.85546875" style="1" customWidth="1"/>
    <col min="9460" max="9460" width="13.28515625" style="1" customWidth="1"/>
    <col min="9461" max="9461" width="14.85546875" style="1" customWidth="1"/>
    <col min="9462" max="9462" width="11" style="1"/>
    <col min="9463" max="9463" width="22.85546875" style="1" customWidth="1"/>
    <col min="9464" max="9464" width="17" style="1" customWidth="1"/>
    <col min="9465" max="9710" width="11" style="1"/>
    <col min="9711" max="9711" width="3.85546875" style="1" customWidth="1"/>
    <col min="9712" max="9712" width="11.85546875" style="1" customWidth="1"/>
    <col min="9713" max="9713" width="40.7109375" style="1" customWidth="1"/>
    <col min="9714" max="9714" width="10.140625" style="1" customWidth="1"/>
    <col min="9715" max="9715" width="8.85546875" style="1" customWidth="1"/>
    <col min="9716" max="9716" width="13.28515625" style="1" customWidth="1"/>
    <col min="9717" max="9717" width="14.85546875" style="1" customWidth="1"/>
    <col min="9718" max="9718" width="11" style="1"/>
    <col min="9719" max="9719" width="22.85546875" style="1" customWidth="1"/>
    <col min="9720" max="9720" width="17" style="1" customWidth="1"/>
    <col min="9721" max="9966" width="11" style="1"/>
    <col min="9967" max="9967" width="3.85546875" style="1" customWidth="1"/>
    <col min="9968" max="9968" width="11.85546875" style="1" customWidth="1"/>
    <col min="9969" max="9969" width="40.7109375" style="1" customWidth="1"/>
    <col min="9970" max="9970" width="10.140625" style="1" customWidth="1"/>
    <col min="9971" max="9971" width="8.85546875" style="1" customWidth="1"/>
    <col min="9972" max="9972" width="13.28515625" style="1" customWidth="1"/>
    <col min="9973" max="9973" width="14.85546875" style="1" customWidth="1"/>
    <col min="9974" max="9974" width="11" style="1"/>
    <col min="9975" max="9975" width="22.85546875" style="1" customWidth="1"/>
    <col min="9976" max="9976" width="17" style="1" customWidth="1"/>
    <col min="9977" max="10222" width="11" style="1"/>
    <col min="10223" max="10223" width="3.85546875" style="1" customWidth="1"/>
    <col min="10224" max="10224" width="11.85546875" style="1" customWidth="1"/>
    <col min="10225" max="10225" width="40.7109375" style="1" customWidth="1"/>
    <col min="10226" max="10226" width="10.140625" style="1" customWidth="1"/>
    <col min="10227" max="10227" width="8.85546875" style="1" customWidth="1"/>
    <col min="10228" max="10228" width="13.28515625" style="1" customWidth="1"/>
    <col min="10229" max="10229" width="14.85546875" style="1" customWidth="1"/>
    <col min="10230" max="10230" width="11" style="1"/>
    <col min="10231" max="10231" width="22.85546875" style="1" customWidth="1"/>
    <col min="10232" max="10232" width="17" style="1" customWidth="1"/>
    <col min="10233" max="10478" width="9.140625" style="1"/>
    <col min="10479" max="10479" width="3.85546875" style="1" customWidth="1"/>
    <col min="10480" max="10480" width="11.85546875" style="1" customWidth="1"/>
    <col min="10481" max="10481" width="40.7109375" style="1" customWidth="1"/>
    <col min="10482" max="10482" width="10.140625" style="1" customWidth="1"/>
    <col min="10483" max="10483" width="8.85546875" style="1" customWidth="1"/>
    <col min="10484" max="10484" width="13.28515625" style="1" customWidth="1"/>
    <col min="10485" max="10485" width="14.85546875" style="1" customWidth="1"/>
    <col min="10486" max="10486" width="11" style="1"/>
    <col min="10487" max="10487" width="22.85546875" style="1" customWidth="1"/>
    <col min="10488" max="10488" width="17" style="1" customWidth="1"/>
    <col min="10489" max="10734" width="11" style="1"/>
    <col min="10735" max="10735" width="3.85546875" style="1" customWidth="1"/>
    <col min="10736" max="10736" width="11.85546875" style="1" customWidth="1"/>
    <col min="10737" max="10737" width="40.7109375" style="1" customWidth="1"/>
    <col min="10738" max="10738" width="10.140625" style="1" customWidth="1"/>
    <col min="10739" max="10739" width="8.85546875" style="1" customWidth="1"/>
    <col min="10740" max="10740" width="13.28515625" style="1" customWidth="1"/>
    <col min="10741" max="10741" width="14.85546875" style="1" customWidth="1"/>
    <col min="10742" max="10742" width="11" style="1"/>
    <col min="10743" max="10743" width="22.85546875" style="1" customWidth="1"/>
    <col min="10744" max="10744" width="17" style="1" customWidth="1"/>
    <col min="10745" max="10990" width="11" style="1"/>
    <col min="10991" max="10991" width="3.85546875" style="1" customWidth="1"/>
    <col min="10992" max="10992" width="11.85546875" style="1" customWidth="1"/>
    <col min="10993" max="10993" width="40.7109375" style="1" customWidth="1"/>
    <col min="10994" max="10994" width="10.140625" style="1" customWidth="1"/>
    <col min="10995" max="10995" width="8.85546875" style="1" customWidth="1"/>
    <col min="10996" max="10996" width="13.28515625" style="1" customWidth="1"/>
    <col min="10997" max="10997" width="14.85546875" style="1" customWidth="1"/>
    <col min="10998" max="10998" width="11" style="1"/>
    <col min="10999" max="10999" width="22.85546875" style="1" customWidth="1"/>
    <col min="11000" max="11000" width="17" style="1" customWidth="1"/>
    <col min="11001" max="11246" width="11" style="1"/>
    <col min="11247" max="11247" width="3.85546875" style="1" customWidth="1"/>
    <col min="11248" max="11248" width="11.85546875" style="1" customWidth="1"/>
    <col min="11249" max="11249" width="40.7109375" style="1" customWidth="1"/>
    <col min="11250" max="11250" width="10.140625" style="1" customWidth="1"/>
    <col min="11251" max="11251" width="8.85546875" style="1" customWidth="1"/>
    <col min="11252" max="11252" width="13.28515625" style="1" customWidth="1"/>
    <col min="11253" max="11253" width="14.85546875" style="1" customWidth="1"/>
    <col min="11254" max="11254" width="11" style="1"/>
    <col min="11255" max="11255" width="22.85546875" style="1" customWidth="1"/>
    <col min="11256" max="11256" width="17" style="1" customWidth="1"/>
    <col min="11257" max="11502" width="9.140625" style="1"/>
    <col min="11503" max="11503" width="3.85546875" style="1" customWidth="1"/>
    <col min="11504" max="11504" width="11.85546875" style="1" customWidth="1"/>
    <col min="11505" max="11505" width="40.7109375" style="1" customWidth="1"/>
    <col min="11506" max="11506" width="10.140625" style="1" customWidth="1"/>
    <col min="11507" max="11507" width="8.85546875" style="1" customWidth="1"/>
    <col min="11508" max="11508" width="13.28515625" style="1" customWidth="1"/>
    <col min="11509" max="11509" width="14.85546875" style="1" customWidth="1"/>
    <col min="11510" max="11510" width="11" style="1"/>
    <col min="11511" max="11511" width="22.85546875" style="1" customWidth="1"/>
    <col min="11512" max="11512" width="17" style="1" customWidth="1"/>
    <col min="11513" max="11758" width="11" style="1"/>
    <col min="11759" max="11759" width="3.85546875" style="1" customWidth="1"/>
    <col min="11760" max="11760" width="11.85546875" style="1" customWidth="1"/>
    <col min="11761" max="11761" width="40.7109375" style="1" customWidth="1"/>
    <col min="11762" max="11762" width="10.140625" style="1" customWidth="1"/>
    <col min="11763" max="11763" width="8.85546875" style="1" customWidth="1"/>
    <col min="11764" max="11764" width="13.28515625" style="1" customWidth="1"/>
    <col min="11765" max="11765" width="14.85546875" style="1" customWidth="1"/>
    <col min="11766" max="11766" width="11" style="1"/>
    <col min="11767" max="11767" width="22.85546875" style="1" customWidth="1"/>
    <col min="11768" max="11768" width="17" style="1" customWidth="1"/>
    <col min="11769" max="12014" width="11" style="1"/>
    <col min="12015" max="12015" width="3.85546875" style="1" customWidth="1"/>
    <col min="12016" max="12016" width="11.85546875" style="1" customWidth="1"/>
    <col min="12017" max="12017" width="40.7109375" style="1" customWidth="1"/>
    <col min="12018" max="12018" width="10.140625" style="1" customWidth="1"/>
    <col min="12019" max="12019" width="8.85546875" style="1" customWidth="1"/>
    <col min="12020" max="12020" width="13.28515625" style="1" customWidth="1"/>
    <col min="12021" max="12021" width="14.85546875" style="1" customWidth="1"/>
    <col min="12022" max="12022" width="11" style="1"/>
    <col min="12023" max="12023" width="22.85546875" style="1" customWidth="1"/>
    <col min="12024" max="12024" width="17" style="1" customWidth="1"/>
    <col min="12025" max="12270" width="11" style="1"/>
    <col min="12271" max="12271" width="3.85546875" style="1" customWidth="1"/>
    <col min="12272" max="12272" width="11.85546875" style="1" customWidth="1"/>
    <col min="12273" max="12273" width="40.7109375" style="1" customWidth="1"/>
    <col min="12274" max="12274" width="10.140625" style="1" customWidth="1"/>
    <col min="12275" max="12275" width="8.85546875" style="1" customWidth="1"/>
    <col min="12276" max="12276" width="13.28515625" style="1" customWidth="1"/>
    <col min="12277" max="12277" width="14.85546875" style="1" customWidth="1"/>
    <col min="12278" max="12278" width="11" style="1"/>
    <col min="12279" max="12279" width="22.85546875" style="1" customWidth="1"/>
    <col min="12280" max="12280" width="17" style="1" customWidth="1"/>
    <col min="12281" max="12526" width="9.140625" style="1"/>
    <col min="12527" max="12527" width="3.85546875" style="1" customWidth="1"/>
    <col min="12528" max="12528" width="11.85546875" style="1" customWidth="1"/>
    <col min="12529" max="12529" width="40.7109375" style="1" customWidth="1"/>
    <col min="12530" max="12530" width="10.140625" style="1" customWidth="1"/>
    <col min="12531" max="12531" width="8.85546875" style="1" customWidth="1"/>
    <col min="12532" max="12532" width="13.28515625" style="1" customWidth="1"/>
    <col min="12533" max="12533" width="14.85546875" style="1" customWidth="1"/>
    <col min="12534" max="12534" width="11" style="1"/>
    <col min="12535" max="12535" width="22.85546875" style="1" customWidth="1"/>
    <col min="12536" max="12536" width="17" style="1" customWidth="1"/>
    <col min="12537" max="12782" width="11" style="1"/>
    <col min="12783" max="12783" width="3.85546875" style="1" customWidth="1"/>
    <col min="12784" max="12784" width="11.85546875" style="1" customWidth="1"/>
    <col min="12785" max="12785" width="40.7109375" style="1" customWidth="1"/>
    <col min="12786" max="12786" width="10.140625" style="1" customWidth="1"/>
    <col min="12787" max="12787" width="8.85546875" style="1" customWidth="1"/>
    <col min="12788" max="12788" width="13.28515625" style="1" customWidth="1"/>
    <col min="12789" max="12789" width="14.85546875" style="1" customWidth="1"/>
    <col min="12790" max="12790" width="11" style="1"/>
    <col min="12791" max="12791" width="22.85546875" style="1" customWidth="1"/>
    <col min="12792" max="12792" width="17" style="1" customWidth="1"/>
    <col min="12793" max="13038" width="11" style="1"/>
    <col min="13039" max="13039" width="3.85546875" style="1" customWidth="1"/>
    <col min="13040" max="13040" width="11.85546875" style="1" customWidth="1"/>
    <col min="13041" max="13041" width="40.7109375" style="1" customWidth="1"/>
    <col min="13042" max="13042" width="10.140625" style="1" customWidth="1"/>
    <col min="13043" max="13043" width="8.85546875" style="1" customWidth="1"/>
    <col min="13044" max="13044" width="13.28515625" style="1" customWidth="1"/>
    <col min="13045" max="13045" width="14.85546875" style="1" customWidth="1"/>
    <col min="13046" max="13046" width="11" style="1"/>
    <col min="13047" max="13047" width="22.85546875" style="1" customWidth="1"/>
    <col min="13048" max="13048" width="17" style="1" customWidth="1"/>
    <col min="13049" max="13294" width="11" style="1"/>
    <col min="13295" max="13295" width="3.85546875" style="1" customWidth="1"/>
    <col min="13296" max="13296" width="11.85546875" style="1" customWidth="1"/>
    <col min="13297" max="13297" width="40.7109375" style="1" customWidth="1"/>
    <col min="13298" max="13298" width="10.140625" style="1" customWidth="1"/>
    <col min="13299" max="13299" width="8.85546875" style="1" customWidth="1"/>
    <col min="13300" max="13300" width="13.28515625" style="1" customWidth="1"/>
    <col min="13301" max="13301" width="14.85546875" style="1" customWidth="1"/>
    <col min="13302" max="13302" width="11" style="1"/>
    <col min="13303" max="13303" width="22.85546875" style="1" customWidth="1"/>
    <col min="13304" max="13304" width="17" style="1" customWidth="1"/>
    <col min="13305" max="13550" width="9.140625" style="1"/>
    <col min="13551" max="13551" width="3.85546875" style="1" customWidth="1"/>
    <col min="13552" max="13552" width="11.85546875" style="1" customWidth="1"/>
    <col min="13553" max="13553" width="40.7109375" style="1" customWidth="1"/>
    <col min="13554" max="13554" width="10.140625" style="1" customWidth="1"/>
    <col min="13555" max="13555" width="8.85546875" style="1" customWidth="1"/>
    <col min="13556" max="13556" width="13.28515625" style="1" customWidth="1"/>
    <col min="13557" max="13557" width="14.85546875" style="1" customWidth="1"/>
    <col min="13558" max="13558" width="11" style="1"/>
    <col min="13559" max="13559" width="22.85546875" style="1" customWidth="1"/>
    <col min="13560" max="13560" width="17" style="1" customWidth="1"/>
    <col min="13561" max="13806" width="11" style="1"/>
    <col min="13807" max="13807" width="3.85546875" style="1" customWidth="1"/>
    <col min="13808" max="13808" width="11.85546875" style="1" customWidth="1"/>
    <col min="13809" max="13809" width="40.7109375" style="1" customWidth="1"/>
    <col min="13810" max="13810" width="10.140625" style="1" customWidth="1"/>
    <col min="13811" max="13811" width="8.85546875" style="1" customWidth="1"/>
    <col min="13812" max="13812" width="13.28515625" style="1" customWidth="1"/>
    <col min="13813" max="13813" width="14.85546875" style="1" customWidth="1"/>
    <col min="13814" max="13814" width="11" style="1"/>
    <col min="13815" max="13815" width="22.85546875" style="1" customWidth="1"/>
    <col min="13816" max="13816" width="17" style="1" customWidth="1"/>
    <col min="13817" max="14062" width="11" style="1"/>
    <col min="14063" max="14063" width="3.85546875" style="1" customWidth="1"/>
    <col min="14064" max="14064" width="11.85546875" style="1" customWidth="1"/>
    <col min="14065" max="14065" width="40.7109375" style="1" customWidth="1"/>
    <col min="14066" max="14066" width="10.140625" style="1" customWidth="1"/>
    <col min="14067" max="14067" width="8.85546875" style="1" customWidth="1"/>
    <col min="14068" max="14068" width="13.28515625" style="1" customWidth="1"/>
    <col min="14069" max="14069" width="14.85546875" style="1" customWidth="1"/>
    <col min="14070" max="14070" width="11" style="1"/>
    <col min="14071" max="14071" width="22.85546875" style="1" customWidth="1"/>
    <col min="14072" max="14072" width="17" style="1" customWidth="1"/>
    <col min="14073" max="14318" width="11" style="1"/>
    <col min="14319" max="14319" width="3.85546875" style="1" customWidth="1"/>
    <col min="14320" max="14320" width="11.85546875" style="1" customWidth="1"/>
    <col min="14321" max="14321" width="40.7109375" style="1" customWidth="1"/>
    <col min="14322" max="14322" width="10.140625" style="1" customWidth="1"/>
    <col min="14323" max="14323" width="8.85546875" style="1" customWidth="1"/>
    <col min="14324" max="14324" width="13.28515625" style="1" customWidth="1"/>
    <col min="14325" max="14325" width="14.85546875" style="1" customWidth="1"/>
    <col min="14326" max="14326" width="11" style="1"/>
    <col min="14327" max="14327" width="22.85546875" style="1" customWidth="1"/>
    <col min="14328" max="14328" width="17" style="1" customWidth="1"/>
    <col min="14329" max="14574" width="9.140625" style="1"/>
    <col min="14575" max="14575" width="3.85546875" style="1" customWidth="1"/>
    <col min="14576" max="14576" width="11.85546875" style="1" customWidth="1"/>
    <col min="14577" max="14577" width="40.7109375" style="1" customWidth="1"/>
    <col min="14578" max="14578" width="10.140625" style="1" customWidth="1"/>
    <col min="14579" max="14579" width="8.85546875" style="1" customWidth="1"/>
    <col min="14580" max="14580" width="13.28515625" style="1" customWidth="1"/>
    <col min="14581" max="14581" width="14.85546875" style="1" customWidth="1"/>
    <col min="14582" max="14582" width="11" style="1"/>
    <col min="14583" max="14583" width="22.85546875" style="1" customWidth="1"/>
    <col min="14584" max="14584" width="17" style="1" customWidth="1"/>
    <col min="14585" max="14830" width="11" style="1"/>
    <col min="14831" max="14831" width="3.85546875" style="1" customWidth="1"/>
    <col min="14832" max="14832" width="11.85546875" style="1" customWidth="1"/>
    <col min="14833" max="14833" width="40.7109375" style="1" customWidth="1"/>
    <col min="14834" max="14834" width="10.140625" style="1" customWidth="1"/>
    <col min="14835" max="14835" width="8.85546875" style="1" customWidth="1"/>
    <col min="14836" max="14836" width="13.28515625" style="1" customWidth="1"/>
    <col min="14837" max="14837" width="14.85546875" style="1" customWidth="1"/>
    <col min="14838" max="14838" width="11" style="1"/>
    <col min="14839" max="14839" width="22.85546875" style="1" customWidth="1"/>
    <col min="14840" max="14840" width="17" style="1" customWidth="1"/>
    <col min="14841" max="15086" width="11" style="1"/>
    <col min="15087" max="15087" width="3.85546875" style="1" customWidth="1"/>
    <col min="15088" max="15088" width="11.85546875" style="1" customWidth="1"/>
    <col min="15089" max="15089" width="40.7109375" style="1" customWidth="1"/>
    <col min="15090" max="15090" width="10.140625" style="1" customWidth="1"/>
    <col min="15091" max="15091" width="8.85546875" style="1" customWidth="1"/>
    <col min="15092" max="15092" width="13.28515625" style="1" customWidth="1"/>
    <col min="15093" max="15093" width="14.85546875" style="1" customWidth="1"/>
    <col min="15094" max="15094" width="11" style="1"/>
    <col min="15095" max="15095" width="22.85546875" style="1" customWidth="1"/>
    <col min="15096" max="15096" width="17" style="1" customWidth="1"/>
    <col min="15097" max="15342" width="11" style="1"/>
    <col min="15343" max="15343" width="3.85546875" style="1" customWidth="1"/>
    <col min="15344" max="15344" width="11.85546875" style="1" customWidth="1"/>
    <col min="15345" max="15345" width="40.7109375" style="1" customWidth="1"/>
    <col min="15346" max="15346" width="10.140625" style="1" customWidth="1"/>
    <col min="15347" max="15347" width="8.85546875" style="1" customWidth="1"/>
    <col min="15348" max="15348" width="13.28515625" style="1" customWidth="1"/>
    <col min="15349" max="15349" width="14.85546875" style="1" customWidth="1"/>
    <col min="15350" max="15350" width="11" style="1"/>
    <col min="15351" max="15351" width="22.85546875" style="1" customWidth="1"/>
    <col min="15352" max="15352" width="17" style="1" customWidth="1"/>
    <col min="15353" max="15598" width="9.140625" style="1"/>
    <col min="15599" max="15599" width="3.85546875" style="1" customWidth="1"/>
    <col min="15600" max="15600" width="11.85546875" style="1" customWidth="1"/>
    <col min="15601" max="15601" width="40.7109375" style="1" customWidth="1"/>
    <col min="15602" max="15602" width="10.140625" style="1" customWidth="1"/>
    <col min="15603" max="15603" width="8.85546875" style="1" customWidth="1"/>
    <col min="15604" max="15604" width="13.28515625" style="1" customWidth="1"/>
    <col min="15605" max="15605" width="14.85546875" style="1" customWidth="1"/>
    <col min="15606" max="15606" width="11" style="1"/>
    <col min="15607" max="15607" width="22.85546875" style="1" customWidth="1"/>
    <col min="15608" max="15608" width="17" style="1" customWidth="1"/>
    <col min="15609" max="15854" width="11" style="1"/>
    <col min="15855" max="15855" width="3.85546875" style="1" customWidth="1"/>
    <col min="15856" max="15856" width="11.85546875" style="1" customWidth="1"/>
    <col min="15857" max="15857" width="40.7109375" style="1" customWidth="1"/>
    <col min="15858" max="15858" width="10.140625" style="1" customWidth="1"/>
    <col min="15859" max="15859" width="8.85546875" style="1" customWidth="1"/>
    <col min="15860" max="15860" width="13.28515625" style="1" customWidth="1"/>
    <col min="15861" max="15861" width="14.85546875" style="1" customWidth="1"/>
    <col min="15862" max="15862" width="11" style="1"/>
    <col min="15863" max="15863" width="22.85546875" style="1" customWidth="1"/>
    <col min="15864" max="15864" width="17" style="1" customWidth="1"/>
    <col min="15865" max="16110" width="11" style="1"/>
    <col min="16111" max="16111" width="3.85546875" style="1" customWidth="1"/>
    <col min="16112" max="16112" width="11.85546875" style="1" customWidth="1"/>
    <col min="16113" max="16113" width="40.7109375" style="1" customWidth="1"/>
    <col min="16114" max="16114" width="10.140625" style="1" customWidth="1"/>
    <col min="16115" max="16115" width="8.85546875" style="1" customWidth="1"/>
    <col min="16116" max="16116" width="13.28515625" style="1" customWidth="1"/>
    <col min="16117" max="16117" width="14.85546875" style="1" customWidth="1"/>
    <col min="16118" max="16118" width="11" style="1"/>
    <col min="16119" max="16119" width="22.85546875" style="1" customWidth="1"/>
    <col min="16120" max="16120" width="17" style="1" customWidth="1"/>
    <col min="16121" max="16384" width="9.140625" style="1"/>
  </cols>
  <sheetData>
    <row r="1" spans="1:13" ht="28.5" customHeight="1">
      <c r="A1" s="86"/>
      <c r="B1" s="86"/>
      <c r="C1" s="86"/>
      <c r="D1" s="86"/>
      <c r="E1" s="86"/>
      <c r="F1" s="86"/>
    </row>
    <row r="2" spans="1:13" ht="16.5" customHeight="1">
      <c r="A2" s="86"/>
      <c r="B2" s="86"/>
      <c r="C2" s="86"/>
      <c r="D2" s="86"/>
      <c r="E2" s="86"/>
      <c r="F2" s="86"/>
    </row>
    <row r="3" spans="1:13" ht="39.75" customHeight="1">
      <c r="A3" s="87"/>
      <c r="B3" s="87"/>
      <c r="C3" s="87"/>
      <c r="D3" s="87"/>
      <c r="E3" s="87"/>
      <c r="F3" s="87"/>
    </row>
    <row r="4" spans="1:13" ht="14.45" customHeight="1">
      <c r="A4" s="88"/>
      <c r="B4" s="88"/>
      <c r="C4" s="88"/>
      <c r="D4" s="88"/>
      <c r="E4" s="88"/>
      <c r="F4" s="88"/>
    </row>
    <row r="5" spans="1:13" ht="19.149999999999999" hidden="1" customHeight="1">
      <c r="A5" s="87"/>
      <c r="B5" s="87"/>
      <c r="C5" s="87"/>
      <c r="D5" s="87"/>
      <c r="E5" s="87"/>
      <c r="F5" s="87"/>
    </row>
    <row r="6" spans="1:13" ht="19.149999999999999" customHeight="1">
      <c r="A6" s="46"/>
      <c r="C6" s="47"/>
      <c r="D6" s="47"/>
      <c r="E6" s="47"/>
      <c r="F6" s="48"/>
    </row>
    <row r="7" spans="1:13" ht="63" customHeight="1">
      <c r="A7" s="89" t="s">
        <v>10</v>
      </c>
      <c r="B7" s="89"/>
      <c r="C7" s="89"/>
      <c r="D7" s="89"/>
      <c r="E7" s="89"/>
      <c r="F7" s="89"/>
    </row>
    <row r="8" spans="1:13" ht="7.5" customHeight="1">
      <c r="A8" s="2"/>
      <c r="B8" s="2"/>
      <c r="C8" s="3"/>
      <c r="D8" s="3"/>
      <c r="E8" s="2"/>
      <c r="F8" s="2"/>
    </row>
    <row r="9" spans="1:13" ht="32.25" customHeight="1">
      <c r="A9" s="93" t="s">
        <v>0</v>
      </c>
      <c r="B9" s="93"/>
      <c r="C9" s="39" t="str">
        <f>Invoice!C11</f>
        <v>MILLE FOOD SARL</v>
      </c>
      <c r="D9" s="14"/>
      <c r="E9" s="4" t="s">
        <v>1</v>
      </c>
      <c r="F9" s="28">
        <f>Invoice!$G$11</f>
        <v>46011</v>
      </c>
    </row>
    <row r="10" spans="1:13" ht="51" customHeight="1">
      <c r="A10" s="93" t="s">
        <v>2</v>
      </c>
      <c r="B10" s="93"/>
      <c r="C10" s="50" t="str">
        <f>Invoice!C12</f>
        <v>71 ANGLE HAY FARAH&amp;BD GRANDE CEINTURE RUE 30 ETAGE 2 – CASABLANCA - MOROCCO</v>
      </c>
      <c r="D10" s="14"/>
      <c r="E10" s="4" t="s">
        <v>3</v>
      </c>
      <c r="F10" s="4">
        <f>Invoice!G12</f>
        <v>1432</v>
      </c>
    </row>
    <row r="11" spans="1:13" ht="31.9" customHeight="1">
      <c r="A11" s="93" t="str">
        <f>Invoice!A13</f>
        <v>ICE NO</v>
      </c>
      <c r="B11" s="93"/>
      <c r="C11" s="39" t="str">
        <f>Invoice!C13</f>
        <v>000043360000070</v>
      </c>
      <c r="D11" s="10"/>
      <c r="E11" s="10"/>
      <c r="F11" s="10" t="s">
        <v>43</v>
      </c>
      <c r="J11" s="69" t="s">
        <v>42</v>
      </c>
      <c r="K11" s="11"/>
    </row>
    <row r="12" spans="1:13" ht="31.9" hidden="1" customHeight="1">
      <c r="A12" s="93" t="str">
        <f>Invoice!A14</f>
        <v>TEL</v>
      </c>
      <c r="B12" s="93"/>
      <c r="C12" s="39" t="str">
        <f>Invoice!C14</f>
        <v xml:space="preserve"> (212) 698049626- 212661438088</v>
      </c>
      <c r="D12" s="10"/>
      <c r="E12" s="10"/>
      <c r="F12" s="10"/>
      <c r="K12" s="11"/>
    </row>
    <row r="13" spans="1:13" ht="25.5" hidden="1" customHeight="1">
      <c r="A13" s="93" t="str">
        <f>Invoice!A15</f>
        <v>Email</v>
      </c>
      <c r="B13" s="93"/>
      <c r="C13" s="51">
        <f>Invoice!C15</f>
        <v>0</v>
      </c>
      <c r="D13" s="2"/>
      <c r="E13" s="2"/>
      <c r="F13" s="2"/>
    </row>
    <row r="14" spans="1:13" ht="42.75" customHeight="1" thickBot="1">
      <c r="A14" s="2"/>
      <c r="B14" s="2"/>
      <c r="C14" s="2"/>
      <c r="D14" s="2"/>
      <c r="E14" s="2"/>
      <c r="F14" s="2"/>
    </row>
    <row r="15" spans="1:13" ht="36.6" customHeight="1" thickBot="1">
      <c r="A15" s="16" t="s">
        <v>4</v>
      </c>
      <c r="B15" s="17"/>
      <c r="C15" s="18" t="s">
        <v>5</v>
      </c>
      <c r="D15" s="18" t="s">
        <v>11</v>
      </c>
      <c r="E15" s="19" t="s">
        <v>21</v>
      </c>
      <c r="F15" s="20" t="s">
        <v>22</v>
      </c>
      <c r="I15" s="32"/>
      <c r="J15" s="33"/>
      <c r="K15" s="32"/>
      <c r="L15" s="32"/>
      <c r="M15" s="70"/>
    </row>
    <row r="16" spans="1:13" ht="74.45" customHeight="1" thickBot="1">
      <c r="A16" s="35">
        <v>1</v>
      </c>
      <c r="B16" s="38"/>
      <c r="C16" s="38" t="str">
        <f>Invoice!B22</f>
        <v xml:space="preserve">Egyptian semi dry Sukkari Dates- Second Grade  3 Kg × 4 Container = 7500 BOX </v>
      </c>
      <c r="D16" s="38">
        <f>1875*4</f>
        <v>7500</v>
      </c>
      <c r="E16" s="68">
        <f>26.25*4</f>
        <v>105</v>
      </c>
      <c r="F16" s="63">
        <f>22.5*4</f>
        <v>90</v>
      </c>
      <c r="H16" s="66"/>
      <c r="I16" s="13"/>
      <c r="J16" s="13"/>
      <c r="L16" s="13"/>
      <c r="M16" s="71"/>
    </row>
    <row r="17" spans="1:11" ht="45.6" customHeight="1" thickBot="1">
      <c r="A17" s="23"/>
      <c r="B17" s="24"/>
      <c r="C17" s="25" t="s">
        <v>9</v>
      </c>
      <c r="D17" s="25">
        <f>SUM(D16:D16)</f>
        <v>7500</v>
      </c>
      <c r="E17" s="64">
        <f>SUM(E16:E16)</f>
        <v>105</v>
      </c>
      <c r="F17" s="62">
        <f>SUM(F16:F16)</f>
        <v>90</v>
      </c>
      <c r="H17" s="66"/>
      <c r="I17" s="13"/>
      <c r="J17" s="13"/>
    </row>
    <row r="18" spans="1:11" ht="34.15" customHeight="1">
      <c r="A18" s="95" t="s">
        <v>50</v>
      </c>
      <c r="B18" s="95"/>
      <c r="C18" s="95"/>
      <c r="D18" s="95"/>
      <c r="E18" s="95"/>
      <c r="F18" s="95"/>
      <c r="G18" s="13"/>
      <c r="H18" s="67"/>
      <c r="I18" s="34"/>
      <c r="J18" s="34"/>
    </row>
    <row r="19" spans="1:11" ht="18.75">
      <c r="A19" s="6"/>
      <c r="B19" s="7"/>
      <c r="K19" s="13"/>
    </row>
    <row r="20" spans="1:11" ht="18.75">
      <c r="A20" s="6"/>
      <c r="B20" s="7"/>
      <c r="C20" s="40"/>
    </row>
    <row r="21" spans="1:11" ht="37.9" customHeight="1">
      <c r="A21" s="94" t="s">
        <v>51</v>
      </c>
      <c r="B21" s="94"/>
      <c r="C21" s="94"/>
      <c r="D21" s="8"/>
      <c r="E21" s="2"/>
      <c r="F21" s="2"/>
    </row>
    <row r="22" spans="1:11" ht="27.6" customHeight="1">
      <c r="A22" s="94" t="s">
        <v>27</v>
      </c>
      <c r="B22" s="94"/>
      <c r="C22" s="94"/>
      <c r="D22" s="94"/>
      <c r="E22" s="94"/>
      <c r="F22" s="94"/>
    </row>
    <row r="23" spans="1:11" ht="27.6" customHeight="1">
      <c r="A23" s="94" t="s">
        <v>28</v>
      </c>
      <c r="B23" s="94"/>
      <c r="C23" s="94"/>
      <c r="D23" s="94"/>
      <c r="E23" s="94"/>
      <c r="F23" s="94"/>
    </row>
    <row r="24" spans="1:11" ht="32.450000000000003" customHeight="1">
      <c r="A24" s="94" t="s">
        <v>29</v>
      </c>
      <c r="B24" s="94"/>
      <c r="C24" s="94"/>
    </row>
    <row r="25" spans="1:11" ht="15.75">
      <c r="A25" s="94" t="s">
        <v>12</v>
      </c>
      <c r="B25" s="94"/>
      <c r="C25" s="94"/>
      <c r="E25" s="13"/>
    </row>
    <row r="26" spans="1:11">
      <c r="E26" s="13"/>
    </row>
    <row r="28" spans="1:11">
      <c r="F28" s="9"/>
    </row>
    <row r="29" spans="1:11">
      <c r="E29" s="9"/>
    </row>
  </sheetData>
  <mergeCells count="18">
    <mergeCell ref="D22:F22"/>
    <mergeCell ref="A23:C23"/>
    <mergeCell ref="D23:F23"/>
    <mergeCell ref="A24:C24"/>
    <mergeCell ref="A25:C25"/>
    <mergeCell ref="A22:C22"/>
    <mergeCell ref="A9:B9"/>
    <mergeCell ref="A1:F2"/>
    <mergeCell ref="A3:F3"/>
    <mergeCell ref="A4:F4"/>
    <mergeCell ref="A5:F5"/>
    <mergeCell ref="A7:F7"/>
    <mergeCell ref="A11:B11"/>
    <mergeCell ref="A13:B13"/>
    <mergeCell ref="A12:B12"/>
    <mergeCell ref="A10:B10"/>
    <mergeCell ref="A21:C21"/>
    <mergeCell ref="A18:F18"/>
  </mergeCells>
  <printOptions horizontalCentered="1"/>
  <pageMargins left="0" right="0" top="0" bottom="0" header="0" footer="0"/>
  <pageSetup paperSize="9" scale="84" orientation="portrait" r:id="rId1"/>
  <headerFooter>
    <oddFooter>&amp;Rpo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Invoice</vt:lpstr>
      <vt:lpstr>Packing List</vt:lpstr>
      <vt:lpstr>Invoice!Print_Area</vt:lpstr>
      <vt:lpstr>'Packing List'!Print_Area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Wael Bahag</dc:creator>
  <cp:lastModifiedBy>sayed ahmed</cp:lastModifiedBy>
  <cp:lastPrinted>2026-01-26T17:26:42Z</cp:lastPrinted>
  <dcterms:created xsi:type="dcterms:W3CDTF">2015-06-05T16:17:00Z</dcterms:created>
  <dcterms:modified xsi:type="dcterms:W3CDTF">2026-02-02T14:45:11Z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C7B019FAB1664AE7AF540D6964E25A88</vt:lpwstr>
  </property>
  <property fmtid="{D5CDD505-2E9C-101B-9397-08002B2CF9AE}" pid="3" name="KSOProductBuildVer">
    <vt:lpwstr>1036-11.2.0.11191</vt:lpwstr>
  </property>
</Properties>
</file>